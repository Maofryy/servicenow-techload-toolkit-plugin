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ha\Documents\Work\ELO\Templates\"/>
    </mc:Choice>
  </mc:AlternateContent>
  <xr:revisionPtr revIDLastSave="0" documentId="13_ncr:1_{0614DF3A-076E-477E-87F4-08D7CC07A0DB}" xr6:coauthVersionLast="47" xr6:coauthVersionMax="47" xr10:uidLastSave="{00000000-0000-0000-0000-000000000000}"/>
  <bookViews>
    <workbookView xWindow="28680" yWindow="-405" windowWidth="29040" windowHeight="15720" tabRatio="500" activeTab="1" xr2:uid="{00000000-000D-0000-FFFF-FFFF00000000}"/>
  </bookViews>
  <sheets>
    <sheet name="WBS &amp; Gantt" sheetId="1" r:id="rId1"/>
    <sheet name="Vue Client" sheetId="2" r:id="rId2"/>
    <sheet name="Hypothèses &amp; Exclusions" sheetId="3" r:id="rId3"/>
    <sheet name="Risques" sheetId="4" r:id="rId4"/>
  </sheets>
  <calcPr calcId="181029" iterateDelta="1E-4"/>
</workbook>
</file>

<file path=xl/calcChain.xml><?xml version="1.0" encoding="utf-8"?>
<calcChain xmlns="http://schemas.openxmlformats.org/spreadsheetml/2006/main">
  <c r="H49" i="2" l="1"/>
  <c r="G49" i="2"/>
  <c r="F49" i="2"/>
  <c r="E49" i="2"/>
  <c r="D49" i="2"/>
  <c r="C49" i="2"/>
  <c r="H48" i="2"/>
  <c r="B48" i="2"/>
  <c r="H47" i="2"/>
  <c r="B47" i="2"/>
  <c r="H46" i="2"/>
  <c r="B46" i="2"/>
  <c r="H45" i="2"/>
  <c r="B45" i="2"/>
  <c r="H44" i="2"/>
  <c r="B44" i="2"/>
  <c r="H41" i="2"/>
  <c r="G41" i="2"/>
  <c r="F41" i="2"/>
  <c r="E41" i="2"/>
  <c r="D41" i="2"/>
  <c r="C41" i="2"/>
  <c r="H40" i="2"/>
  <c r="B40" i="2"/>
  <c r="H39" i="2"/>
  <c r="B39" i="2"/>
  <c r="H38" i="2"/>
  <c r="B38" i="2"/>
  <c r="H37" i="2"/>
  <c r="B37" i="2"/>
  <c r="H36" i="2"/>
  <c r="B36" i="2"/>
  <c r="H35" i="2"/>
  <c r="B35" i="2"/>
  <c r="H34" i="2"/>
  <c r="B34" i="2"/>
  <c r="H33" i="2"/>
  <c r="B33" i="2"/>
  <c r="H30" i="2"/>
  <c r="G30" i="2"/>
  <c r="F30" i="2"/>
  <c r="E30" i="2"/>
  <c r="D30" i="2"/>
  <c r="C30" i="2"/>
  <c r="H29" i="2"/>
  <c r="B29" i="2"/>
  <c r="H28" i="2"/>
  <c r="B28" i="2"/>
  <c r="H27" i="2"/>
  <c r="B27" i="2"/>
  <c r="H26" i="2"/>
  <c r="B26" i="2"/>
  <c r="H23" i="2"/>
  <c r="G23" i="2"/>
  <c r="F23" i="2"/>
  <c r="E23" i="2"/>
  <c r="D23" i="2"/>
  <c r="C23" i="2"/>
  <c r="H22" i="2"/>
  <c r="B22" i="2"/>
  <c r="H21" i="2"/>
  <c r="B21" i="2"/>
  <c r="H20" i="2"/>
  <c r="B20" i="2"/>
  <c r="H19" i="2"/>
  <c r="B19" i="2"/>
  <c r="H16" i="2"/>
  <c r="G16" i="2"/>
  <c r="F16" i="2"/>
  <c r="E16" i="2"/>
  <c r="D16" i="2"/>
  <c r="C16" i="2"/>
  <c r="H15" i="2"/>
  <c r="B15" i="2"/>
  <c r="H14" i="2"/>
  <c r="B14" i="2"/>
  <c r="H13" i="2"/>
  <c r="B13" i="2"/>
  <c r="H12" i="2"/>
  <c r="B12" i="2"/>
  <c r="H11" i="2"/>
  <c r="B11" i="2"/>
  <c r="H10" i="2"/>
  <c r="B10" i="2"/>
  <c r="G4" i="2" l="1"/>
  <c r="B4" i="2"/>
  <c r="G3" i="2"/>
  <c r="B3" i="2"/>
  <c r="G2" i="2"/>
  <c r="B2" i="2"/>
  <c r="I49" i="1"/>
  <c r="H49" i="1"/>
  <c r="G49" i="1"/>
  <c r="F49" i="1"/>
  <c r="E49" i="1"/>
  <c r="L48" i="1"/>
  <c r="J48" i="1"/>
  <c r="L47" i="1"/>
  <c r="J47" i="1"/>
  <c r="L46" i="1"/>
  <c r="J46" i="1"/>
  <c r="J45" i="1"/>
  <c r="L44" i="1"/>
  <c r="J44" i="1"/>
  <c r="J49" i="1" s="1"/>
  <c r="I41" i="1"/>
  <c r="H41" i="1"/>
  <c r="G41" i="1"/>
  <c r="F41" i="1"/>
  <c r="E41" i="1"/>
  <c r="L40" i="1"/>
  <c r="J40" i="1"/>
  <c r="L39" i="1"/>
  <c r="J39" i="1"/>
  <c r="J38" i="1"/>
  <c r="L37" i="1"/>
  <c r="J37" i="1"/>
  <c r="L36" i="1"/>
  <c r="J36" i="1"/>
  <c r="L35" i="1"/>
  <c r="J35" i="1"/>
  <c r="J34" i="1"/>
  <c r="L33" i="1"/>
  <c r="J33" i="1"/>
  <c r="I30" i="1"/>
  <c r="H30" i="1"/>
  <c r="G30" i="1"/>
  <c r="F30" i="1"/>
  <c r="E30" i="1"/>
  <c r="L29" i="1"/>
  <c r="J29" i="1"/>
  <c r="L28" i="1"/>
  <c r="J28" i="1"/>
  <c r="J27" i="1"/>
  <c r="L26" i="1"/>
  <c r="J26" i="1"/>
  <c r="I23" i="1"/>
  <c r="H23" i="1"/>
  <c r="G23" i="1"/>
  <c r="F23" i="1"/>
  <c r="E23" i="1"/>
  <c r="L22" i="1"/>
  <c r="J22" i="1"/>
  <c r="L21" i="1"/>
  <c r="J21" i="1"/>
  <c r="J20" i="1"/>
  <c r="L19" i="1"/>
  <c r="J19" i="1"/>
  <c r="J23" i="1" s="1"/>
  <c r="I16" i="1"/>
  <c r="H16" i="1"/>
  <c r="H6" i="1" s="1"/>
  <c r="F6" i="2" s="1"/>
  <c r="G16" i="1"/>
  <c r="G6" i="1" s="1"/>
  <c r="E6" i="2" s="1"/>
  <c r="F16" i="1"/>
  <c r="E16" i="1"/>
  <c r="J15" i="1"/>
  <c r="L15" i="1" s="1"/>
  <c r="J14" i="1"/>
  <c r="L14" i="1" s="1"/>
  <c r="J13" i="1"/>
  <c r="L12" i="1"/>
  <c r="J12" i="1"/>
  <c r="J11" i="1"/>
  <c r="L11" i="1" s="1"/>
  <c r="J10" i="1"/>
  <c r="J16" i="1" s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I6" i="1"/>
  <c r="G6" i="2" s="1"/>
  <c r="F6" i="1"/>
  <c r="D6" i="2" s="1"/>
  <c r="O16" i="1" l="1" a="1"/>
  <c r="O16" i="1" s="1"/>
  <c r="J5" i="1"/>
  <c r="H5" i="2" s="1"/>
  <c r="L20" i="1"/>
  <c r="L23" i="1" s="1"/>
  <c r="L27" i="1"/>
  <c r="L30" i="1" s="1"/>
  <c r="L34" i="1"/>
  <c r="L41" i="1" s="1"/>
  <c r="L38" i="1"/>
  <c r="L45" i="1"/>
  <c r="L49" i="1" s="1"/>
  <c r="L13" i="1"/>
  <c r="L10" i="1"/>
  <c r="L16" i="1" s="1"/>
  <c r="E6" i="1"/>
  <c r="C6" i="2" s="1"/>
  <c r="H6" i="2" s="1"/>
  <c r="J30" i="1"/>
  <c r="J41" i="1"/>
  <c r="O23" i="1" l="1"/>
  <c r="O30" i="1"/>
  <c r="O41" i="1"/>
  <c r="O49" i="1"/>
  <c r="L5" i="1"/>
</calcChain>
</file>

<file path=xl/sharedStrings.xml><?xml version="1.0" encoding="utf-8"?>
<sst xmlns="http://schemas.openxmlformats.org/spreadsheetml/2006/main" count="364" uniqueCount="222">
  <si>
    <t xml:space="preserve">  WBS &amp; PLAN DE CHARGE — PROJET SERVICENOW</t>
  </si>
  <si>
    <t>Projet :</t>
  </si>
  <si>
    <t>Date début :</t>
  </si>
  <si>
    <t>Client :</t>
  </si>
  <si>
    <t>Version :</t>
  </si>
  <si>
    <t>v1.0</t>
  </si>
  <si>
    <t>Desc :</t>
  </si>
  <si>
    <t>Statut :</t>
  </si>
  <si>
    <t>En cours de planification</t>
  </si>
  <si>
    <t>RÉSUMÉ CHARGES</t>
  </si>
  <si>
    <t>Total J/H bruts :</t>
  </si>
  <si>
    <t>Charge ajustée :</t>
  </si>
  <si>
    <t>Total par profil :</t>
  </si>
  <si>
    <t>Chef de
projet</t>
  </si>
  <si>
    <t>Architecte</t>
  </si>
  <si>
    <t>Tech Lead</t>
  </si>
  <si>
    <t>MOA</t>
  </si>
  <si>
    <t>Consultant</t>
  </si>
  <si>
    <t>N° WBS</t>
  </si>
  <si>
    <t>Libellé de la tâche</t>
  </si>
  <si>
    <t>Début</t>
  </si>
  <si>
    <t>Fin</t>
  </si>
  <si>
    <t>J/H</t>
  </si>
  <si>
    <t>Total
J/H</t>
  </si>
  <si>
    <t>Coeff.</t>
  </si>
  <si>
    <t>Charge
ajustée</t>
  </si>
  <si>
    <t>Avt.</t>
  </si>
  <si>
    <t>Cible
%</t>
  </si>
  <si>
    <t>Réel
%</t>
  </si>
  <si>
    <t>L</t>
  </si>
  <si>
    <t>M</t>
  </si>
  <si>
    <t>J</t>
  </si>
  <si>
    <t>V</t>
  </si>
  <si>
    <t xml:space="preserve">  0  ▸  GESTION DE PROJET</t>
  </si>
  <si>
    <t>0.1</t>
  </si>
  <si>
    <t>Kick-off &amp; Initialisation projet</t>
  </si>
  <si>
    <t>0.2</t>
  </si>
  <si>
    <t>Réunions COPIL / COTECH</t>
  </si>
  <si>
    <t>0.3</t>
  </si>
  <si>
    <t>Gestion des risques &amp; aléas</t>
  </si>
  <si>
    <t>0.4</t>
  </si>
  <si>
    <t>Rédaction &amp; validation du cahier de recette</t>
  </si>
  <si>
    <t>0.5</t>
  </si>
  <si>
    <t>Rédaction des comptes-rendus et livrables projet</t>
  </si>
  <si>
    <t>0.6</t>
  </si>
  <si>
    <t>Clôture projet</t>
  </si>
  <si>
    <t xml:space="preserve">  Sous-total Phase 0 : GESTION DE PROJET</t>
  </si>
  <si>
    <t xml:space="preserve">  1  ▸  CADRAGE &amp; ATELIERS</t>
  </si>
  <si>
    <t>1.1</t>
  </si>
  <si>
    <t>Ateliers de recueil du besoin</t>
  </si>
  <si>
    <t>1.2</t>
  </si>
  <si>
    <t>Rédaction des specifications &amp; user stories</t>
  </si>
  <si>
    <t>1.3</t>
  </si>
  <si>
    <t>Audit de l'instance existante</t>
  </si>
  <si>
    <t>1.4</t>
  </si>
  <si>
    <t>Validation fonctionnelle du périmètre</t>
  </si>
  <si>
    <t xml:space="preserve">  Sous-total Phase 1 :CADRAGE &amp; ATELIERS</t>
  </si>
  <si>
    <t xml:space="preserve">  2  ▸  CONCEPTION</t>
  </si>
  <si>
    <t>2.1</t>
  </si>
  <si>
    <t>Architecture technique &amp; choix de configuration</t>
  </si>
  <si>
    <t>2.2</t>
  </si>
  <si>
    <t>Design UX / Maquettes Service Portal</t>
  </si>
  <si>
    <t>2.3</t>
  </si>
  <si>
    <t>Conception des intégrations (API / Spokes)</t>
  </si>
  <si>
    <t>2.4</t>
  </si>
  <si>
    <t>Documentation technique d'architecture</t>
  </si>
  <si>
    <t xml:space="preserve">  Sous-total Phase 2 : CONCEPTION</t>
  </si>
  <si>
    <t xml:space="preserve">  3  ▸  IMPLÉMENTATION (BUILD)</t>
  </si>
  <si>
    <t>3.1</t>
  </si>
  <si>
    <t>Configuration tables &amp; data schema</t>
  </si>
  <si>
    <t>3.2</t>
  </si>
  <si>
    <t>Logique métier (Business Rules / Flow Designer)</t>
  </si>
  <si>
    <t>3.3</t>
  </si>
  <si>
    <t>Intégrations &amp; API tierces</t>
  </si>
  <si>
    <t>3.4</t>
  </si>
  <si>
    <t>Service Portal &amp; widgets</t>
  </si>
  <si>
    <t>3.5</t>
  </si>
  <si>
    <t>Gestion &amp; promotion des Update Sets</t>
  </si>
  <si>
    <t>3.6</t>
  </si>
  <si>
    <t>Tests unitaires développeur</t>
  </si>
  <si>
    <t xml:space="preserve">Revue technique / peer review Tech Lead </t>
  </si>
  <si>
    <t>Qualification interne (avant livraison au client)</t>
  </si>
  <si>
    <t xml:space="preserve">  Sous-total Phase 3 : IMPLÉMENTATION (BUILD)</t>
  </si>
  <si>
    <t xml:space="preserve">  4  ▸  RECETTE &amp; DÉPLOIEMENT</t>
  </si>
  <si>
    <t>4.1</t>
  </si>
  <si>
    <t>Tests de Non-Régression (TNR)</t>
  </si>
  <si>
    <t>4.2</t>
  </si>
  <si>
    <t>Corrections post-UAT</t>
  </si>
  <si>
    <t>4.3</t>
  </si>
  <si>
    <t>Mise en Production (MEP)</t>
  </si>
  <si>
    <t>4.4</t>
  </si>
  <si>
    <t>Hypercare post Go-Live</t>
  </si>
  <si>
    <t>4.5</t>
  </si>
  <si>
    <t>Support de maintenance (Xj)</t>
  </si>
  <si>
    <t xml:space="preserve">  Sous-total Phase 4 : RECETTE &amp; DÉPLOIEMENT</t>
  </si>
  <si>
    <t>Legende</t>
  </si>
  <si>
    <t>Principal</t>
  </si>
  <si>
    <t>Contributeur</t>
  </si>
  <si>
    <t>Total J/H :</t>
  </si>
  <si>
    <t xml:space="preserve">  HYPOTHÈSES &amp; EXCLUSIONS : PROJET SERVICENOW</t>
  </si>
  <si>
    <t>1. HYPOTHÈSES DU CHIFFRAGE</t>
  </si>
  <si>
    <t>#</t>
  </si>
  <si>
    <t>Hypothèse</t>
  </si>
  <si>
    <t>Catégorie</t>
  </si>
  <si>
    <t>Statut</t>
  </si>
  <si>
    <t>Impact si non respectée</t>
  </si>
  <si>
    <t>H1</t>
  </si>
  <si>
    <t>PO client disponible min. 2h/semaine pour valider les livrables</t>
  </si>
  <si>
    <t>Disponibilité</t>
  </si>
  <si>
    <t>À valider</t>
  </si>
  <si>
    <t>Blocage validation DDP — risque décalage planning</t>
  </si>
  <si>
    <t>H2</t>
  </si>
  <si>
    <t>Accès DEV/TEST/PROD fournis avant le début du Build</t>
  </si>
  <si>
    <t>Technique</t>
  </si>
  <si>
    <t>Décalage planning +1 à +2 semaines</t>
  </si>
  <si>
    <t>H3</t>
  </si>
  <si>
    <t>Instance TEST alignée avec PROD (même version, mêmes plugins)</t>
  </si>
  <si>
    <t>Comportement différent post-MEP — risque régression</t>
  </si>
  <si>
    <t>H4</t>
  </si>
  <si>
    <t>APIs tierces documentées et disponibles dès la conception</t>
  </si>
  <si>
    <t>Intégration</t>
  </si>
  <si>
    <t>Surcharge ×1.5 sur les tâches d'intégration</t>
  </si>
  <si>
    <t>H5</t>
  </si>
  <si>
    <t>Périmètre fonctionnel figé à l'issue du 2ème atelier (Specs validées)</t>
  </si>
  <si>
    <t>Périmètre</t>
  </si>
  <si>
    <t>Toute évolution = avenant obligatoire</t>
  </si>
  <si>
    <t>H6</t>
  </si>
  <si>
    <t>Retours UAT transmis sous 5 jours ouvrés après chaque livraison</t>
  </si>
  <si>
    <t>UAT</t>
  </si>
  <si>
    <t>Glissement planning : ~1 sem. par cycle de retard</t>
  </si>
  <si>
    <t>H7</t>
  </si>
  <si>
    <t>Instance disposant des licences/plugins nécessaires au périmètre</t>
  </si>
  <si>
    <t>Licence</t>
  </si>
  <si>
    <t>Blocage technique — activation plugin = délai éditeur</t>
  </si>
  <si>
    <t>H8</t>
  </si>
  <si>
    <t>Les customisations existantes sur le périmètre sont documentées</t>
  </si>
  <si>
    <t>Surcharge analyse ×1.5 — risque régression non détectée</t>
  </si>
  <si>
    <t>H9</t>
  </si>
  <si>
    <t>Formation utilisateurs finaux hors périmètre du présent forfait</t>
  </si>
  <si>
    <t>Formation</t>
  </si>
  <si>
    <t>Confirmé</t>
  </si>
  <si>
    <t>Prévoir mission complémentaire si besoin</t>
  </si>
  <si>
    <t>H10</t>
  </si>
  <si>
    <t>Les ATF (Automated Test Framework) existants couvrent les flux hors périmètre ou leur absence est acceptée</t>
  </si>
  <si>
    <t>Qualité</t>
  </si>
  <si>
    <t>Régression silencieuse sur des flux non testés</t>
  </si>
  <si>
    <t>H11</t>
  </si>
  <si>
    <t>Pas de mise à jour de version (upgrade) de l'instance pendant la durée du projet</t>
  </si>
  <si>
    <t>H12</t>
  </si>
  <si>
    <t>Absence d'autres projets concurrents actifs sur la même instance</t>
  </si>
  <si>
    <t>2.  EXCLUSIONS DE PÉRIMÈTRE</t>
  </si>
  <si>
    <t>Exclusion</t>
  </si>
  <si>
    <t>Motif</t>
  </si>
  <si>
    <t>Alternative proposée</t>
  </si>
  <si>
    <t>E1</t>
  </si>
  <si>
    <t>Reprise de données historiques</t>
  </si>
  <si>
    <t>Non spécifiée au cahier des charges</t>
  </si>
  <si>
    <t>Mission complémentaire sur devis</t>
  </si>
  <si>
    <t>E2</t>
  </si>
  <si>
    <t>Formation utilisateurs finaux &amp; administrateurs</t>
  </si>
  <si>
    <t>Hors périmètre forfait</t>
  </si>
  <si>
    <t>Package formation sur demande</t>
  </si>
  <si>
    <t>E3</t>
  </si>
  <si>
    <t>Intégrations non documentées au démarrage</t>
  </si>
  <si>
    <t>Risque technique non maîtrisé</t>
  </si>
  <si>
    <t>Étude préalable + avenant</t>
  </si>
  <si>
    <t>E4</t>
  </si>
  <si>
    <t>Remédiation de customisations existantes découvertes en cours de projet</t>
  </si>
  <si>
    <t>Découvertes post-démarrage</t>
  </si>
  <si>
    <t>Avenant après inventaire initial</t>
  </si>
  <si>
    <t>E5</t>
  </si>
  <si>
    <t>Support maintenance post-Hypercare (&gt; J+15)</t>
  </si>
  <si>
    <t>Hors périmètre contrat</t>
  </si>
  <si>
    <t>Contrat de TMA séparé</t>
  </si>
  <si>
    <t>E6</t>
  </si>
  <si>
    <t>Personnalisation OOTB au-delà configuration standard</t>
  </si>
  <si>
    <t>Risque dette technique</t>
  </si>
  <si>
    <t>Arbitrage Tech Lead + avenant</t>
  </si>
  <si>
    <t>E7</t>
  </si>
  <si>
    <t>Rédaction de la documentation utilisateur (manuel, guide admin)</t>
  </si>
  <si>
    <t>Non incluse au cahier des charges</t>
  </si>
  <si>
    <t>Livrable documentaire sur devis</t>
  </si>
  <si>
    <t>1. RISQUES</t>
  </si>
  <si>
    <t>Risque</t>
  </si>
  <si>
    <t>Probabilité</t>
  </si>
  <si>
    <t>Impact</t>
  </si>
  <si>
    <t>Mitigation plan</t>
  </si>
  <si>
    <t>R1</t>
  </si>
  <si>
    <t>Dérive du périmètre fonctionnel (scope creep)</t>
  </si>
  <si>
    <t>Élevée</t>
  </si>
  <si>
    <t>Élevé</t>
  </si>
  <si>
    <t>DDP signé + processus avenant formalisé dès le kick-off</t>
  </si>
  <si>
    <t>R2</t>
  </si>
  <si>
    <t>Découverte de customisations non documentées bloquant le Build</t>
  </si>
  <si>
    <t>Moyenne</t>
  </si>
  <si>
    <t>Audit technique préalable au démarrage du Build</t>
  </si>
  <si>
    <t>R3</t>
  </si>
  <si>
    <t>Instance TEST non représentative de PROD</t>
  </si>
  <si>
    <t>Check de conformité instance en début de Build</t>
  </si>
  <si>
    <t>R4</t>
  </si>
  <si>
    <t>Régression sur des flux hors périmètre non couverts par les ATF</t>
  </si>
  <si>
    <t>Moyen</t>
  </si>
  <si>
    <t>Définir une stratégie de non-régression dès la Conception</t>
  </si>
  <si>
    <t>R5</t>
  </si>
  <si>
    <t>Indisponibilité des interlocuteurs métier en phase UAT</t>
  </si>
  <si>
    <t>Clause de délai de retour contractualisée</t>
  </si>
  <si>
    <t>R6</t>
  </si>
  <si>
    <t>Dépendance à une équipe tierce non mobilisable (SSO, LDAP, API)</t>
  </si>
  <si>
    <t>Identifier les dépendances externes dès la Conception</t>
  </si>
  <si>
    <t>R7</t>
  </si>
  <si>
    <t>MEP refusée lors de la fenêtre prévue (gel infra, incident en cours)</t>
  </si>
  <si>
    <t>Faible</t>
  </si>
  <si>
    <t>Définir une fenêtre de repli dans le planning</t>
  </si>
  <si>
    <t>R8</t>
  </si>
  <si>
    <t>Retard d'activation d'un plugin nécessaire (traitement éditeur)</t>
  </si>
  <si>
    <t>Vérifier licences/plugins actifs dès le kick-off</t>
  </si>
  <si>
    <t>R9</t>
  </si>
  <si>
    <t>Conflits d'Update Sets avec d'autres développements en cours sur l'instance</t>
  </si>
  <si>
    <t>R10</t>
  </si>
  <si>
    <t>Upgrade de version ServiceNow en cours de projet</t>
  </si>
  <si>
    <t>R11</t>
  </si>
  <si>
    <t>Turnover ou indisponibilité d'une ressource clé 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</si>
</sst>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dd"/>
    <numFmt numFmtId="166" formatCode="dd/mm/yy"/>
    <numFmt numFmtId="167" formatCode="dd/mm/yyyy"/>
  </numFmts>
  <fonts count="38" x14ac:knownFonts="1">
    <font>
      <sz val="11"/>
      <color theme="1"/>
      <name val="Calibri"/>
      <family val="2"/>
      <charset val="1"/>
    </font>
    <font>
      <b/>
      <sz val="15"/>
      <color rgb="FFFFFFFF"/>
      <name val="Calibri"/>
      <charset val="1"/>
    </font>
    <font>
      <b/>
      <sz val="9"/>
      <color rgb="FF555555"/>
      <name val="Calibri"/>
      <charset val="1"/>
    </font>
    <font>
      <sz val="9"/>
      <color rgb="FF1B2A4A"/>
      <name val="Calibri"/>
      <charset val="1"/>
    </font>
    <font>
      <b/>
      <sz val="9"/>
      <color rgb="FFFFFFFF"/>
      <name val="Calibri"/>
      <charset val="1"/>
    </font>
    <font>
      <b/>
      <sz val="8"/>
      <color rgb="FFFFFFFF"/>
      <name val="Calibri"/>
      <charset val="1"/>
    </font>
    <font>
      <b/>
      <sz val="11"/>
      <color rgb="FFFFD700"/>
      <name val="Calibri"/>
      <charset val="1"/>
    </font>
    <font>
      <b/>
      <sz val="9"/>
      <color rgb="FFFFD700"/>
      <name val="Calibri"/>
      <charset val="1"/>
    </font>
    <font>
      <b/>
      <sz val="7"/>
      <color rgb="FFFFFFFF"/>
      <name val="Calibri"/>
      <charset val="1"/>
    </font>
    <font>
      <sz val="7"/>
      <color rgb="FFFFFFFF"/>
      <name val="Calibri"/>
      <charset val="1"/>
    </font>
    <font>
      <b/>
      <i/>
      <sz val="8"/>
      <color rgb="FF555555"/>
      <name val="Calibri"/>
      <charset val="1"/>
    </font>
    <font>
      <sz val="7"/>
      <color rgb="FFAAAAAA"/>
      <name val="Calibri"/>
      <charset val="1"/>
    </font>
    <font>
      <b/>
      <sz val="10"/>
      <color rgb="FFFFFFFF"/>
      <name val="Calibri"/>
      <charset val="1"/>
    </font>
    <font>
      <b/>
      <sz val="9"/>
      <color rgb="FF1B2A4A"/>
      <name val="Calibri"/>
      <charset val="1"/>
    </font>
    <font>
      <sz val="9"/>
      <color rgb="FFCCCCCC"/>
      <name val="Calibri"/>
      <charset val="1"/>
    </font>
    <font>
      <b/>
      <sz val="9"/>
      <color rgb="FF1A6B8A"/>
      <name val="Calibri"/>
      <charset val="1"/>
    </font>
    <font>
      <b/>
      <sz val="9"/>
      <color rgb="FF4A6FA5"/>
      <name val="Calibri"/>
      <charset val="1"/>
    </font>
    <font>
      <b/>
      <sz val="9"/>
      <color rgb="FF16A085"/>
      <name val="Calibri"/>
      <charset val="1"/>
    </font>
    <font>
      <b/>
      <sz val="9"/>
      <color rgb="FF1E8449"/>
      <name val="Calibri"/>
      <charset val="1"/>
    </font>
    <font>
      <b/>
      <sz val="9"/>
      <color rgb="FF333333"/>
      <name val="Calibri"/>
      <charset val="1"/>
    </font>
    <font>
      <b/>
      <i/>
      <sz val="9"/>
      <color rgb="FF555555"/>
      <name val="Calibri"/>
      <charset val="1"/>
    </font>
    <font>
      <b/>
      <sz val="14"/>
      <color rgb="FFFFFFFF"/>
      <name val="Calibri"/>
      <charset val="1"/>
    </font>
    <font>
      <b/>
      <sz val="11"/>
      <color rgb="FFFFFFFF"/>
      <name val="Calibri"/>
      <charset val="1"/>
    </font>
    <font>
      <b/>
      <sz val="9"/>
      <color rgb="FFBA4A00"/>
      <name val="Calibri"/>
      <charset val="1"/>
    </font>
    <font>
      <sz val="9"/>
      <color rgb="FF1B2A4A"/>
      <name val="Calibri"/>
      <family val="2"/>
      <charset val="1"/>
    </font>
    <font>
      <b/>
      <sz val="9"/>
      <color rgb="FFFFC000"/>
      <name val="Calibri"/>
      <charset val="1"/>
    </font>
    <font>
      <b/>
      <sz val="15"/>
      <color rgb="FFFFFFFF"/>
      <name val="Calibri"/>
    </font>
    <font>
      <b/>
      <sz val="9"/>
      <color rgb="FF555555"/>
      <name val="Calibri"/>
    </font>
    <font>
      <b/>
      <sz val="9"/>
      <color rgb="FF1B2A4A"/>
      <name val="Calibri"/>
    </font>
    <font>
      <b/>
      <sz val="9"/>
      <color rgb="FFFFFFFF"/>
      <name val="Calibri"/>
    </font>
    <font>
      <b/>
      <sz val="8"/>
      <color rgb="FFFFFFFF"/>
      <name val="Calibri"/>
    </font>
    <font>
      <sz val="9"/>
      <color rgb="FF1B2A4A"/>
      <name val="Calibri"/>
    </font>
    <font>
      <b/>
      <sz val="11"/>
      <color rgb="FFFFD700"/>
      <name val="Calibri"/>
    </font>
    <font>
      <b/>
      <sz val="9"/>
      <color rgb="FFFFD700"/>
      <name val="Calibri"/>
    </font>
    <font>
      <b/>
      <sz val="7"/>
      <color rgb="FFFFFFFF"/>
      <name val="Calibri"/>
    </font>
    <font>
      <b/>
      <sz val="10"/>
      <color rgb="FFFFFFFF"/>
      <name val="Calibri"/>
      <family val="2"/>
    </font>
    <font>
      <b/>
      <sz val="9"/>
      <color rgb="FF1B2A4A"/>
      <name val="Calibri"/>
      <family val="2"/>
    </font>
    <font>
      <b/>
      <sz val="8"/>
      <color rgb="FF555555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1B2A4A"/>
        <bgColor rgb="FF333333"/>
      </patternFill>
    </fill>
    <fill>
      <patternFill patternType="solid">
        <fgColor rgb="FFF0F4F8"/>
        <bgColor rgb="FFF0F0F0"/>
      </patternFill>
    </fill>
    <fill>
      <patternFill patternType="solid">
        <fgColor rgb="FFFFF9C4"/>
        <bgColor rgb="FFFDEBD0"/>
      </patternFill>
    </fill>
    <fill>
      <patternFill patternType="solid">
        <fgColor rgb="FF2C3E50"/>
        <bgColor rgb="FF34495E"/>
      </patternFill>
    </fill>
    <fill>
      <patternFill patternType="solid">
        <fgColor rgb="FF34495E"/>
        <bgColor rgb="FF2C3E50"/>
      </patternFill>
    </fill>
    <fill>
      <patternFill patternType="solid">
        <fgColor rgb="FF4A6FA5"/>
        <bgColor rgb="FF1A6B8A"/>
      </patternFill>
    </fill>
    <fill>
      <patternFill patternType="solid">
        <fgColor rgb="FF1A6B8A"/>
        <bgColor rgb="FF0066CC"/>
      </patternFill>
    </fill>
    <fill>
      <patternFill patternType="solid">
        <fgColor rgb="FF16A085"/>
        <bgColor rgb="FF1E8449"/>
      </patternFill>
    </fill>
    <fill>
      <patternFill patternType="solid">
        <fgColor rgb="FF1E8449"/>
        <bgColor rgb="FF1A6B8A"/>
      </patternFill>
    </fill>
    <fill>
      <patternFill patternType="solid">
        <fgColor rgb="FFBDC3C7"/>
        <bgColor rgb="FFCCCCCC"/>
      </patternFill>
    </fill>
    <fill>
      <patternFill patternType="solid">
        <fgColor rgb="FFFFFFFF"/>
        <bgColor rgb="FFFAFAFA"/>
      </patternFill>
    </fill>
    <fill>
      <patternFill patternType="solid">
        <fgColor rgb="FFD6E4F0"/>
        <bgColor rgb="FFD1ECF7"/>
      </patternFill>
    </fill>
    <fill>
      <patternFill patternType="solid">
        <fgColor rgb="FFF0F0F0"/>
        <bgColor rgb="FFEEEEEE"/>
      </patternFill>
    </fill>
    <fill>
      <patternFill patternType="solid">
        <fgColor rgb="FFEEEEEE"/>
        <bgColor rgb="FFF0F0F0"/>
      </patternFill>
    </fill>
    <fill>
      <patternFill patternType="solid">
        <fgColor rgb="FFF5F8FA"/>
        <bgColor rgb="FFFAFAFA"/>
      </patternFill>
    </fill>
    <fill>
      <patternFill patternType="solid">
        <fgColor rgb="FFD1ECF7"/>
        <bgColor rgb="FFD1F2EB"/>
      </patternFill>
    </fill>
    <fill>
      <patternFill patternType="solid">
        <fgColor rgb="FFE8ECEF"/>
        <bgColor rgb="FFEEEEEE"/>
      </patternFill>
    </fill>
    <fill>
      <patternFill patternType="solid">
        <fgColor rgb="FFFAFAFA"/>
        <bgColor rgb="FFF5F8FA"/>
      </patternFill>
    </fill>
    <fill>
      <patternFill patternType="solid">
        <fgColor rgb="FFD1F2EB"/>
        <bgColor rgb="FFD5F5E3"/>
      </patternFill>
    </fill>
    <fill>
      <patternFill patternType="solid">
        <fgColor rgb="FFBA4A00"/>
        <bgColor rgb="FFE74C3C"/>
      </patternFill>
    </fill>
    <fill>
      <patternFill patternType="solid">
        <fgColor theme="0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E4"/>
        <bgColor indexed="64"/>
      </patternFill>
    </fill>
    <fill>
      <patternFill patternType="solid">
        <fgColor rgb="FF99FFC9"/>
        <bgColor indexed="64"/>
      </patternFill>
    </fill>
    <fill>
      <patternFill patternType="solid">
        <fgColor rgb="FFACECC8"/>
        <bgColor indexed="64"/>
      </patternFill>
    </fill>
    <fill>
      <patternFill patternType="solid">
        <fgColor rgb="FFA4DAEF"/>
        <bgColor indexed="64"/>
      </patternFill>
    </fill>
    <fill>
      <patternFill patternType="solid">
        <fgColor rgb="FFB1CBE2"/>
        <bgColor indexed="64"/>
      </patternFill>
    </fill>
    <fill>
      <patternFill patternType="solid">
        <fgColor rgb="FFECCCAC"/>
        <bgColor indexed="64"/>
      </patternFill>
    </fill>
    <fill>
      <patternFill patternType="solid">
        <fgColor rgb="FFF6E6D5"/>
        <bgColor indexed="64"/>
      </patternFill>
    </fill>
    <fill>
      <patternFill patternType="solid">
        <fgColor rgb="FF1B2A4A"/>
      </patternFill>
    </fill>
    <fill>
      <patternFill patternType="solid">
        <fgColor rgb="FFF0F4F8"/>
      </patternFill>
    </fill>
    <fill>
      <patternFill patternType="solid">
        <fgColor rgb="FF2C3E50"/>
      </patternFill>
    </fill>
    <fill>
      <patternFill patternType="solid">
        <fgColor rgb="FF4A6FA5"/>
      </patternFill>
    </fill>
    <fill>
      <patternFill patternType="solid">
        <fgColor rgb="FF1A6B8A"/>
      </patternFill>
    </fill>
    <fill>
      <patternFill patternType="solid">
        <fgColor rgb="FF16A085"/>
      </patternFill>
    </fill>
    <fill>
      <patternFill patternType="solid">
        <fgColor rgb="FF00B050"/>
      </patternFill>
    </fill>
    <fill>
      <patternFill patternType="solid">
        <fgColor rgb="FF1E8449"/>
      </patternFill>
    </fill>
    <fill>
      <patternFill patternType="solid">
        <fgColor rgb="FFFFF9C4"/>
      </patternFill>
    </fill>
    <fill>
      <patternFill patternType="solid">
        <fgColor rgb="FF4A6FA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ECEF"/>
        <bgColor indexed="64"/>
      </patternFill>
    </fill>
    <fill>
      <patternFill patternType="solid">
        <fgColor rgb="FF1A6B8A"/>
        <bgColor indexed="64"/>
      </patternFill>
    </fill>
    <fill>
      <patternFill patternType="solid">
        <fgColor rgb="FF16A085"/>
        <bgColor indexed="64"/>
      </patternFill>
    </fill>
    <fill>
      <patternFill patternType="solid">
        <fgColor rgb="FF1E8449"/>
        <bgColor indexed="64"/>
      </patternFill>
    </fill>
    <fill>
      <patternFill patternType="solid">
        <fgColor rgb="FFBA4A00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 style="medium">
        <color rgb="FF8A94A0"/>
      </bottom>
      <diagonal/>
    </border>
    <border>
      <left/>
      <right/>
      <top style="medium">
        <color rgb="FF8A94A0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5" fillId="2" borderId="0" xfId="0" applyFont="1" applyFill="1" applyAlignment="1">
      <alignment horizontal="righ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/>
    <xf numFmtId="164" fontId="6" fillId="2" borderId="0" xfId="0" applyNumberFormat="1" applyFont="1" applyFill="1" applyAlignment="1">
      <alignment horizontal="center" vertical="center"/>
    </xf>
    <xf numFmtId="0" fontId="0" fillId="2" borderId="0" xfId="0" applyFill="1"/>
    <xf numFmtId="164" fontId="7" fillId="5" borderId="0" xfId="0" applyNumberFormat="1" applyFont="1" applyFill="1" applyAlignment="1">
      <alignment horizontal="center" vertical="center"/>
    </xf>
    <xf numFmtId="0" fontId="0" fillId="5" borderId="0" xfId="0" applyFill="1"/>
    <xf numFmtId="165" fontId="9" fillId="6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166" fontId="3" fillId="4" borderId="0" xfId="0" applyNumberFormat="1" applyFont="1" applyFill="1" applyAlignment="1">
      <alignment horizontal="center" vertical="center"/>
    </xf>
    <xf numFmtId="164" fontId="3" fillId="13" borderId="4" xfId="0" applyNumberFormat="1" applyFont="1" applyFill="1" applyBorder="1" applyAlignment="1">
      <alignment horizontal="center" vertical="center"/>
    </xf>
    <xf numFmtId="164" fontId="14" fillId="14" borderId="4" xfId="0" applyNumberFormat="1" applyFont="1" applyFill="1" applyBorder="1" applyAlignment="1">
      <alignment horizontal="center" vertical="center"/>
    </xf>
    <xf numFmtId="164" fontId="13" fillId="12" borderId="0" xfId="0" applyNumberFormat="1" applyFont="1" applyFill="1" applyAlignment="1">
      <alignment horizontal="center" vertical="center"/>
    </xf>
    <xf numFmtId="2" fontId="3" fillId="4" borderId="0" xfId="0" applyNumberFormat="1" applyFont="1" applyFill="1" applyAlignment="1">
      <alignment horizontal="center" vertical="center"/>
    </xf>
    <xf numFmtId="0" fontId="0" fillId="15" borderId="0" xfId="0" applyFill="1"/>
    <xf numFmtId="0" fontId="0" fillId="12" borderId="5" xfId="0" applyFill="1" applyBorder="1"/>
    <xf numFmtId="0" fontId="0" fillId="12" borderId="0" xfId="0" applyFill="1"/>
    <xf numFmtId="0" fontId="13" fillId="16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left" vertical="center"/>
    </xf>
    <xf numFmtId="164" fontId="13" fillId="16" borderId="0" xfId="0" applyNumberFormat="1" applyFont="1" applyFill="1" applyAlignment="1">
      <alignment horizontal="center" vertical="center"/>
    </xf>
    <xf numFmtId="0" fontId="0" fillId="16" borderId="5" xfId="0" applyFill="1" applyBorder="1"/>
    <xf numFmtId="0" fontId="0" fillId="16" borderId="0" xfId="0" applyFill="1"/>
    <xf numFmtId="164" fontId="3" fillId="17" borderId="4" xfId="0" applyNumberFormat="1" applyFont="1" applyFill="1" applyBorder="1" applyAlignment="1">
      <alignment horizontal="center" vertical="center"/>
    </xf>
    <xf numFmtId="164" fontId="16" fillId="18" borderId="0" xfId="0" applyNumberFormat="1" applyFont="1" applyFill="1" applyAlignment="1">
      <alignment horizontal="center" vertical="center"/>
    </xf>
    <xf numFmtId="164" fontId="15" fillId="18" borderId="0" xfId="0" applyNumberFormat="1" applyFont="1" applyFill="1" applyAlignment="1">
      <alignment horizontal="center" vertical="center"/>
    </xf>
    <xf numFmtId="164" fontId="17" fillId="18" borderId="0" xfId="0" applyNumberFormat="1" applyFont="1" applyFill="1" applyAlignment="1">
      <alignment horizontal="center" vertical="center"/>
    </xf>
    <xf numFmtId="164" fontId="18" fillId="18" borderId="0" xfId="0" applyNumberFormat="1" applyFont="1" applyFill="1" applyAlignment="1">
      <alignment horizontal="center" vertical="center"/>
    </xf>
    <xf numFmtId="164" fontId="19" fillId="18" borderId="0" xfId="0" applyNumberFormat="1" applyFont="1" applyFill="1" applyAlignment="1">
      <alignment horizontal="center" vertical="center"/>
    </xf>
    <xf numFmtId="0" fontId="0" fillId="18" borderId="0" xfId="0" applyFill="1"/>
    <xf numFmtId="9" fontId="13" fillId="19" borderId="6" xfId="0" applyNumberFormat="1" applyFont="1" applyFill="1" applyBorder="1" applyAlignment="1">
      <alignment horizontal="center" vertical="center"/>
    </xf>
    <xf numFmtId="164" fontId="3" fillId="20" borderId="4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left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left" vertical="center" wrapText="1"/>
    </xf>
    <xf numFmtId="0" fontId="18" fillId="16" borderId="0" xfId="0" applyFont="1" applyFill="1" applyAlignment="1">
      <alignment horizontal="center" vertical="center" wrapText="1"/>
    </xf>
    <xf numFmtId="165" fontId="8" fillId="6" borderId="7" xfId="0" applyNumberFormat="1" applyFont="1" applyFill="1" applyBorder="1" applyAlignment="1">
      <alignment horizontal="center" vertical="center"/>
    </xf>
    <xf numFmtId="9" fontId="3" fillId="22" borderId="0" xfId="0" applyNumberFormat="1" applyFont="1" applyFill="1" applyAlignment="1">
      <alignment horizontal="center" vertical="center"/>
    </xf>
    <xf numFmtId="9" fontId="24" fillId="22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right" vertical="center" wrapText="1"/>
    </xf>
    <xf numFmtId="0" fontId="23" fillId="23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left" vertical="center" wrapText="1"/>
    </xf>
    <xf numFmtId="0" fontId="23" fillId="22" borderId="0" xfId="0" applyFont="1" applyFill="1" applyAlignment="1">
      <alignment horizontal="center" vertical="center" wrapText="1"/>
    </xf>
    <xf numFmtId="0" fontId="3" fillId="23" borderId="0" xfId="0" applyFont="1" applyFill="1" applyAlignment="1">
      <alignment horizontal="left" vertical="center" wrapText="1"/>
    </xf>
    <xf numFmtId="0" fontId="3" fillId="23" borderId="0" xfId="0" applyFont="1" applyFill="1" applyAlignment="1">
      <alignment horizontal="center" vertical="center" wrapText="1"/>
    </xf>
    <xf numFmtId="0" fontId="18" fillId="22" borderId="0" xfId="0" applyFont="1" applyFill="1" applyAlignment="1">
      <alignment horizontal="center" vertical="center" wrapText="1"/>
    </xf>
    <xf numFmtId="0" fontId="25" fillId="22" borderId="0" xfId="0" applyFont="1" applyFill="1" applyAlignment="1">
      <alignment horizontal="center" vertical="center" wrapText="1"/>
    </xf>
    <xf numFmtId="9" fontId="20" fillId="19" borderId="6" xfId="0" applyNumberFormat="1" applyFont="1" applyFill="1" applyBorder="1" applyAlignment="1">
      <alignment horizontal="center" vertical="center"/>
    </xf>
    <xf numFmtId="0" fontId="3" fillId="23" borderId="0" xfId="0" applyFont="1" applyFill="1" applyAlignment="1">
      <alignment horizontal="left" vertical="center"/>
    </xf>
    <xf numFmtId="0" fontId="3" fillId="22" borderId="0" xfId="0" applyFont="1" applyFill="1" applyAlignment="1">
      <alignment horizontal="left" vertical="center"/>
    </xf>
    <xf numFmtId="0" fontId="8" fillId="25" borderId="0" xfId="0" applyFont="1" applyFill="1" applyAlignment="1">
      <alignment horizontal="center" vertical="center" wrapText="1"/>
    </xf>
    <xf numFmtId="0" fontId="5" fillId="25" borderId="2" xfId="0" applyFont="1" applyFill="1" applyBorder="1" applyAlignment="1">
      <alignment horizontal="center" vertical="center"/>
    </xf>
    <xf numFmtId="164" fontId="3" fillId="26" borderId="4" xfId="0" applyNumberFormat="1" applyFont="1" applyFill="1" applyBorder="1" applyAlignment="1">
      <alignment horizontal="center" vertical="center"/>
    </xf>
    <xf numFmtId="164" fontId="3" fillId="27" borderId="4" xfId="0" applyNumberFormat="1" applyFont="1" applyFill="1" applyBorder="1" applyAlignment="1">
      <alignment horizontal="center" vertical="center"/>
    </xf>
    <xf numFmtId="164" fontId="3" fillId="28" borderId="4" xfId="0" applyNumberFormat="1" applyFont="1" applyFill="1" applyBorder="1" applyAlignment="1">
      <alignment horizontal="center" vertical="center"/>
    </xf>
    <xf numFmtId="164" fontId="3" fillId="29" borderId="4" xfId="0" applyNumberFormat="1" applyFont="1" applyFill="1" applyBorder="1" applyAlignment="1">
      <alignment horizontal="center" vertical="center"/>
    </xf>
    <xf numFmtId="164" fontId="3" fillId="30" borderId="4" xfId="0" applyNumberFormat="1" applyFont="1" applyFill="1" applyBorder="1" applyAlignment="1">
      <alignment horizontal="center" vertical="center"/>
    </xf>
    <xf numFmtId="164" fontId="3" fillId="31" borderId="4" xfId="0" applyNumberFormat="1" applyFont="1" applyFill="1" applyBorder="1" applyAlignment="1">
      <alignment horizontal="center" vertical="center"/>
    </xf>
    <xf numFmtId="164" fontId="3" fillId="32" borderId="4" xfId="0" applyNumberFormat="1" applyFont="1" applyFill="1" applyBorder="1" applyAlignment="1">
      <alignment horizontal="center" vertical="center"/>
    </xf>
    <xf numFmtId="0" fontId="13" fillId="22" borderId="0" xfId="0" applyFont="1" applyFill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right" vertical="center"/>
    </xf>
    <xf numFmtId="0" fontId="30" fillId="35" borderId="8" xfId="0" applyFont="1" applyFill="1" applyBorder="1" applyAlignment="1">
      <alignment horizontal="center" vertical="center" wrapText="1"/>
    </xf>
    <xf numFmtId="0" fontId="30" fillId="36" borderId="8" xfId="0" applyFont="1" applyFill="1" applyBorder="1" applyAlignment="1">
      <alignment horizontal="center" vertical="center"/>
    </xf>
    <xf numFmtId="0" fontId="30" fillId="37" borderId="8" xfId="0" applyFont="1" applyFill="1" applyBorder="1" applyAlignment="1">
      <alignment horizontal="center" vertical="center"/>
    </xf>
    <xf numFmtId="0" fontId="30" fillId="38" borderId="8" xfId="0" applyFont="1" applyFill="1" applyBorder="1" applyAlignment="1">
      <alignment horizontal="center" vertical="center"/>
    </xf>
    <xf numFmtId="0" fontId="30" fillId="39" borderId="8" xfId="0" applyFont="1" applyFill="1" applyBorder="1" applyAlignment="1">
      <alignment horizontal="center" vertical="center"/>
    </xf>
    <xf numFmtId="0" fontId="30" fillId="40" borderId="8" xfId="0" applyFont="1" applyFill="1" applyBorder="1" applyAlignment="1">
      <alignment horizontal="center" vertical="center"/>
    </xf>
    <xf numFmtId="164" fontId="32" fillId="33" borderId="0" xfId="0" applyNumberFormat="1" applyFont="1" applyFill="1" applyAlignment="1">
      <alignment horizontal="center" vertical="center"/>
    </xf>
    <xf numFmtId="164" fontId="33" fillId="35" borderId="0" xfId="0" applyNumberFormat="1" applyFont="1" applyFill="1" applyAlignment="1">
      <alignment horizontal="center" vertical="center"/>
    </xf>
    <xf numFmtId="0" fontId="34" fillId="36" borderId="0" xfId="0" applyFont="1" applyFill="1" applyAlignment="1">
      <alignment horizontal="center" vertical="center" wrapText="1"/>
    </xf>
    <xf numFmtId="0" fontId="34" fillId="37" borderId="0" xfId="0" applyFont="1" applyFill="1" applyAlignment="1">
      <alignment horizontal="center" vertical="center" wrapText="1"/>
    </xf>
    <xf numFmtId="0" fontId="34" fillId="38" borderId="0" xfId="0" applyFont="1" applyFill="1" applyAlignment="1">
      <alignment horizontal="center" vertical="center" wrapText="1"/>
    </xf>
    <xf numFmtId="0" fontId="34" fillId="39" borderId="0" xfId="0" applyFont="1" applyFill="1" applyAlignment="1">
      <alignment horizontal="center" vertical="center" wrapText="1"/>
    </xf>
    <xf numFmtId="0" fontId="34" fillId="40" borderId="0" xfId="0" applyFont="1" applyFill="1" applyAlignment="1">
      <alignment horizontal="center" vertical="center" wrapText="1"/>
    </xf>
    <xf numFmtId="0" fontId="34" fillId="35" borderId="0" xfId="0" applyFont="1" applyFill="1" applyAlignment="1">
      <alignment horizontal="center" vertical="center" wrapText="1"/>
    </xf>
    <xf numFmtId="0" fontId="36" fillId="43" borderId="0" xfId="0" applyFont="1" applyFill="1" applyAlignment="1">
      <alignment horizontal="center" vertical="center"/>
    </xf>
    <xf numFmtId="0" fontId="24" fillId="43" borderId="0" xfId="0" applyFont="1" applyFill="1" applyAlignment="1">
      <alignment horizontal="left" vertical="center"/>
    </xf>
    <xf numFmtId="164" fontId="24" fillId="43" borderId="0" xfId="0" applyNumberFormat="1" applyFont="1" applyFill="1" applyAlignment="1">
      <alignment horizontal="center" vertical="center"/>
    </xf>
    <xf numFmtId="164" fontId="36" fillId="43" borderId="0" xfId="0" applyNumberFormat="1" applyFont="1" applyFill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0" fontId="24" fillId="23" borderId="0" xfId="0" applyFont="1" applyFill="1" applyAlignment="1">
      <alignment horizontal="left" vertical="center"/>
    </xf>
    <xf numFmtId="164" fontId="24" fillId="23" borderId="0" xfId="0" applyNumberFormat="1" applyFont="1" applyFill="1" applyAlignment="1">
      <alignment horizontal="center" vertical="center"/>
    </xf>
    <xf numFmtId="164" fontId="36" fillId="23" borderId="0" xfId="0" applyNumberFormat="1" applyFont="1" applyFill="1" applyAlignment="1">
      <alignment horizontal="center" vertical="center"/>
    </xf>
    <xf numFmtId="164" fontId="37" fillId="44" borderId="0" xfId="0" applyNumberFormat="1" applyFont="1" applyFill="1" applyAlignment="1">
      <alignment horizontal="center" vertical="center"/>
    </xf>
    <xf numFmtId="164" fontId="37" fillId="44" borderId="10" xfId="0" applyNumberFormat="1" applyFont="1" applyFill="1" applyBorder="1" applyAlignment="1">
      <alignment horizontal="center" vertical="center"/>
    </xf>
    <xf numFmtId="49" fontId="13" fillId="12" borderId="0" xfId="0" applyNumberFormat="1" applyFont="1" applyFill="1" applyAlignment="1">
      <alignment horizontal="center" vertical="center"/>
    </xf>
    <xf numFmtId="0" fontId="26" fillId="33" borderId="0" xfId="0" applyFont="1" applyFill="1" applyAlignment="1">
      <alignment horizontal="center" vertical="center"/>
    </xf>
    <xf numFmtId="0" fontId="0" fillId="0" borderId="0" xfId="0"/>
    <xf numFmtId="0" fontId="30" fillId="35" borderId="0" xfId="0" applyFont="1" applyFill="1" applyAlignment="1">
      <alignment horizontal="right" vertical="center"/>
    </xf>
    <xf numFmtId="0" fontId="0" fillId="35" borderId="0" xfId="0" applyFill="1" applyAlignment="1">
      <alignment horizontal="center" vertical="center" wrapText="1"/>
    </xf>
    <xf numFmtId="0" fontId="28" fillId="41" borderId="0" xfId="0" applyFont="1" applyFill="1" applyAlignment="1">
      <alignment horizontal="left" vertical="center" wrapText="1"/>
    </xf>
    <xf numFmtId="0" fontId="28" fillId="41" borderId="0" xfId="0" applyFont="1" applyFill="1" applyAlignment="1">
      <alignment horizontal="left" vertical="center"/>
    </xf>
    <xf numFmtId="49" fontId="31" fillId="41" borderId="0" xfId="0" applyNumberFormat="1" applyFont="1" applyFill="1" applyAlignment="1">
      <alignment horizontal="left" vertical="center"/>
    </xf>
    <xf numFmtId="0" fontId="29" fillId="33" borderId="0" xfId="0" applyFont="1" applyFill="1" applyAlignment="1">
      <alignment horizontal="center" vertical="center"/>
    </xf>
    <xf numFmtId="0" fontId="35" fillId="42" borderId="9" xfId="0" applyFont="1" applyFill="1" applyBorder="1" applyAlignment="1">
      <alignment horizontal="left" vertical="center"/>
    </xf>
    <xf numFmtId="0" fontId="37" fillId="44" borderId="0" xfId="0" applyFont="1" applyFill="1" applyAlignment="1">
      <alignment horizontal="left" vertical="center"/>
    </xf>
    <xf numFmtId="167" fontId="31" fillId="41" borderId="0" xfId="0" applyNumberFormat="1" applyFont="1" applyFill="1" applyAlignment="1">
      <alignment horizontal="left" vertical="center"/>
    </xf>
    <xf numFmtId="0" fontId="30" fillId="33" borderId="0" xfId="0" applyFont="1" applyFill="1" applyAlignment="1">
      <alignment horizontal="right" vertical="center"/>
    </xf>
    <xf numFmtId="0" fontId="35" fillId="46" borderId="0" xfId="0" applyFont="1" applyFill="1" applyAlignment="1">
      <alignment horizontal="left" vertical="center"/>
    </xf>
    <xf numFmtId="0" fontId="35" fillId="45" borderId="0" xfId="0" applyFont="1" applyFill="1" applyAlignment="1">
      <alignment horizontal="left" vertical="center"/>
    </xf>
    <xf numFmtId="0" fontId="35" fillId="47" borderId="0" xfId="0" applyFont="1" applyFill="1" applyAlignment="1">
      <alignment horizontal="left" vertical="center"/>
    </xf>
    <xf numFmtId="0" fontId="35" fillId="48" borderId="0" xfId="0" applyFont="1" applyFill="1" applyAlignment="1">
      <alignment horizontal="left" vertical="center"/>
    </xf>
    <xf numFmtId="0" fontId="10" fillId="18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14" fontId="3" fillId="4" borderId="0" xfId="0" applyNumberFormat="1" applyFont="1" applyFill="1" applyAlignment="1">
      <alignment horizontal="left" vertical="center"/>
    </xf>
    <xf numFmtId="0" fontId="12" fillId="8" borderId="0" xfId="0" applyFont="1" applyFill="1" applyAlignment="1">
      <alignment horizontal="left" vertical="center"/>
    </xf>
    <xf numFmtId="0" fontId="12" fillId="21" borderId="0" xfId="0" applyFont="1" applyFill="1" applyAlignment="1">
      <alignment horizontal="left" vertical="center"/>
    </xf>
    <xf numFmtId="0" fontId="0" fillId="2" borderId="0" xfId="0" applyFill="1"/>
    <xf numFmtId="0" fontId="12" fillId="7" borderId="0" xfId="0" applyFont="1" applyFill="1" applyAlignment="1">
      <alignment horizontal="left" vertical="center"/>
    </xf>
    <xf numFmtId="0" fontId="0" fillId="3" borderId="0" xfId="0" applyFill="1"/>
    <xf numFmtId="0" fontId="4" fillId="2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left" vertical="center"/>
    </xf>
    <xf numFmtId="0" fontId="22" fillId="21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left" vertical="center"/>
    </xf>
    <xf numFmtId="0" fontId="22" fillId="24" borderId="0" xfId="0" applyFont="1" applyFill="1" applyAlignment="1">
      <alignment horizontal="left" vertical="center"/>
    </xf>
  </cellXfs>
  <cellStyles count="1">
    <cellStyle name="Normal" xfId="0" builtinId="0"/>
  </cellStyles>
  <dxfs count="25">
    <dxf>
      <fill>
        <patternFill>
          <bgColor rgb="FFE74C3C"/>
        </patternFill>
      </fill>
    </dxf>
    <dxf>
      <fill>
        <patternFill>
          <bgColor rgb="FFF0B27A"/>
        </patternFill>
      </fill>
    </dxf>
    <dxf>
      <fill>
        <patternFill>
          <bgColor rgb="FFE74C3C"/>
        </patternFill>
      </fill>
    </dxf>
    <dxf>
      <fill>
        <patternFill>
          <bgColor rgb="FF82E0AA"/>
        </patternFill>
      </fill>
    </dxf>
    <dxf>
      <fill>
        <patternFill>
          <bgColor rgb="FFE74C3C"/>
        </patternFill>
      </fill>
    </dxf>
    <dxf>
      <fill>
        <patternFill>
          <bgColor rgb="FF76D7C4"/>
        </patternFill>
      </fill>
    </dxf>
    <dxf>
      <fill>
        <patternFill>
          <bgColor rgb="FFE74C3C"/>
        </patternFill>
      </fill>
    </dxf>
    <dxf>
      <fill>
        <patternFill>
          <bgColor rgb="FF5DADE2"/>
        </patternFill>
      </fill>
    </dxf>
    <dxf>
      <fill>
        <patternFill>
          <bgColor rgb="FFE74C3C"/>
        </patternFill>
      </fill>
    </dxf>
    <dxf>
      <fill>
        <patternFill>
          <bgColor rgb="FF7B96C1"/>
        </patternFill>
      </fill>
    </dxf>
    <dxf>
      <fill>
        <patternFill>
          <bgColor rgb="FFFDEDEC"/>
        </patternFill>
      </fill>
    </dxf>
    <dxf>
      <fill>
        <patternFill>
          <bgColor rgb="FFFDEBD0"/>
        </patternFill>
      </fill>
    </dxf>
    <dxf>
      <fill>
        <patternFill>
          <bgColor rgb="FFD5F5E3"/>
        </patternFill>
      </fill>
    </dxf>
    <dxf>
      <fill>
        <patternFill>
          <bgColor rgb="FFFDEDEC"/>
        </patternFill>
      </fill>
    </dxf>
    <dxf>
      <fill>
        <patternFill>
          <bgColor rgb="FFFDEBD0"/>
        </patternFill>
      </fill>
    </dxf>
    <dxf>
      <fill>
        <patternFill>
          <bgColor rgb="FFD5F5E3"/>
        </patternFill>
      </fill>
    </dxf>
    <dxf>
      <fill>
        <patternFill>
          <bgColor rgb="FFFDEDEC"/>
        </patternFill>
      </fill>
    </dxf>
    <dxf>
      <fill>
        <patternFill>
          <bgColor rgb="FFFDEBD0"/>
        </patternFill>
      </fill>
    </dxf>
    <dxf>
      <fill>
        <patternFill>
          <bgColor rgb="FFD5F5E3"/>
        </patternFill>
      </fill>
    </dxf>
    <dxf>
      <fill>
        <patternFill>
          <bgColor rgb="FFFDEDEC"/>
        </patternFill>
      </fill>
    </dxf>
    <dxf>
      <fill>
        <patternFill>
          <bgColor rgb="FFFDEBD0"/>
        </patternFill>
      </fill>
    </dxf>
    <dxf>
      <fill>
        <patternFill>
          <bgColor rgb="FFD5F5E3"/>
        </patternFill>
      </fill>
    </dxf>
    <dxf>
      <fill>
        <patternFill>
          <bgColor rgb="FFFDEDEC"/>
        </patternFill>
      </fill>
    </dxf>
    <dxf>
      <fill>
        <patternFill>
          <bgColor rgb="FFFDEBD0"/>
        </patternFill>
      </fill>
    </dxf>
    <dxf>
      <fill>
        <patternFill>
          <bgColor rgb="FFD5F5E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EEEEEE"/>
      <rgbColor rgb="FFFF00FF"/>
      <rgbColor rgb="FFE8F8F5"/>
      <rgbColor rgb="FF800000"/>
      <rgbColor rgb="FF008000"/>
      <rgbColor rgb="FF000080"/>
      <rgbColor rgb="FF808000"/>
      <rgbColor rgb="FF800080"/>
      <rgbColor rgb="FF1A6B8A"/>
      <rgbColor rgb="FFBDC3C7"/>
      <rgbColor rgb="FF555555"/>
      <rgbColor rgb="FF7B96C1"/>
      <rgbColor rgb="FF993366"/>
      <rgbColor rgb="FFFFF9C4"/>
      <rgbColor rgb="FFD1F2EB"/>
      <rgbColor rgb="FF660066"/>
      <rgbColor rgb="FFE8ECEF"/>
      <rgbColor rgb="FF0066CC"/>
      <rgbColor rgb="FFCCCCCC"/>
      <rgbColor rgb="FF000080"/>
      <rgbColor rgb="FFFF00FF"/>
      <rgbColor rgb="FFF0F0F0"/>
      <rgbColor rgb="FFF5F8FA"/>
      <rgbColor rgb="FF800080"/>
      <rgbColor rgb="FF800000"/>
      <rgbColor rgb="FF1E8449"/>
      <rgbColor rgb="FF0000FF"/>
      <rgbColor rgb="FFFAFAFA"/>
      <rgbColor rgb="FFD1ECF7"/>
      <rgbColor rgb="FFD5F5E3"/>
      <rgbColor rgb="FFFDEBD0"/>
      <rgbColor rgb="FF76D7C4"/>
      <rgbColor rgb="FFFDEDEC"/>
      <rgbColor rgb="FFD6E4F0"/>
      <rgbColor rgb="FFF0B27A"/>
      <rgbColor rgb="FF3366FF"/>
      <rgbColor rgb="FF5DADE2"/>
      <rgbColor rgb="FF82E0AA"/>
      <rgbColor rgb="FFFFD700"/>
      <rgbColor rgb="FFF0F4F8"/>
      <rgbColor rgb="FFE74C3C"/>
      <rgbColor rgb="FF4A6FA5"/>
      <rgbColor rgb="FFAAAAAA"/>
      <rgbColor rgb="FF1B2A4A"/>
      <rgbColor rgb="FF16A085"/>
      <rgbColor rgb="FF003300"/>
      <rgbColor rgb="FF2C3E50"/>
      <rgbColor rgb="FFBA4A00"/>
      <rgbColor rgb="FF993366"/>
      <rgbColor rgb="FF34495E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0</xdr:rowOff>
    </xdr:from>
    <xdr:to>
      <xdr:col>11</xdr:col>
      <xdr:colOff>9524</xdr:colOff>
      <xdr:row>3</xdr:row>
      <xdr:rowOff>1</xdr:rowOff>
    </xdr:to>
    <xdr:sp macro="[0]!SyncVueClient" textlink="">
      <xdr:nvSpPr>
        <xdr:cNvPr id="2" name="Rectangle 1">
          <a:extLst>
            <a:ext uri="{FF2B5EF4-FFF2-40B4-BE49-F238E27FC236}">
              <a16:creationId xmlns:a16="http://schemas.microsoft.com/office/drawing/2014/main" id="{EF72AF36-B8EC-9868-9C55-8F419E45B9FF}"/>
            </a:ext>
          </a:extLst>
        </xdr:cNvPr>
        <xdr:cNvSpPr/>
      </xdr:nvSpPr>
      <xdr:spPr>
        <a:xfrm>
          <a:off x="6953250" y="457200"/>
          <a:ext cx="1219199" cy="457201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</a:rPr>
            <a:t>Synchroniser</a:t>
          </a:r>
          <a:br>
            <a:rPr lang="en-GB" sz="1100" baseline="0">
              <a:solidFill>
                <a:schemeClr val="tx1"/>
              </a:solidFill>
            </a:rPr>
          </a:br>
          <a:r>
            <a:rPr lang="en-GB" sz="1100" baseline="0">
              <a:solidFill>
                <a:schemeClr val="tx1"/>
              </a:solidFill>
            </a:rPr>
            <a:t>Vue Client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53"/>
  <sheetViews>
    <sheetView showGridLines="0" zoomScale="115" zoomScaleNormal="115" workbookViewId="0">
      <pane ySplit="8" topLeftCell="A41" activePane="bottomLeft" state="frozen"/>
      <selection pane="bottomLeft" activeCell="A44" sqref="A44:A48"/>
    </sheetView>
  </sheetViews>
  <sheetFormatPr defaultColWidth="8.7109375" defaultRowHeight="15" x14ac:dyDescent="0.25"/>
  <cols>
    <col min="1" max="1" width="7" customWidth="1"/>
    <col min="2" max="2" width="34" customWidth="1"/>
    <col min="3" max="4" width="10" customWidth="1"/>
    <col min="5" max="9" width="7" customWidth="1"/>
    <col min="10" max="10" width="8" customWidth="1"/>
    <col min="11" max="11" width="7" customWidth="1"/>
    <col min="12" max="12" width="9" customWidth="1"/>
    <col min="13" max="13" width="19.28515625" customWidth="1"/>
    <col min="14" max="15" width="8" customWidth="1"/>
    <col min="16" max="80" width="2.140625" customWidth="1"/>
  </cols>
  <sheetData>
    <row r="1" spans="1:80" ht="36" customHeight="1" x14ac:dyDescent="0.25">
      <c r="A1" s="131" t="s">
        <v>0</v>
      </c>
      <c r="B1" s="104"/>
      <c r="C1" s="104"/>
      <c r="D1" s="104"/>
      <c r="E1" s="104"/>
    </row>
    <row r="2" spans="1:80" ht="18" customHeight="1" x14ac:dyDescent="0.25">
      <c r="A2" s="2" t="s">
        <v>1</v>
      </c>
      <c r="B2" s="121"/>
      <c r="C2" s="104"/>
      <c r="D2" s="104"/>
      <c r="E2" s="104"/>
      <c r="F2" s="3"/>
      <c r="G2" s="2"/>
      <c r="H2" s="2" t="s">
        <v>2</v>
      </c>
      <c r="I2" s="123">
        <v>46139</v>
      </c>
      <c r="J2" s="104"/>
      <c r="K2" s="104"/>
      <c r="L2" s="3"/>
      <c r="M2" s="3"/>
      <c r="N2" s="3"/>
      <c r="O2" s="3"/>
      <c r="P2" s="128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</row>
    <row r="3" spans="1:80" ht="18" customHeight="1" x14ac:dyDescent="0.25">
      <c r="A3" s="2" t="s">
        <v>3</v>
      </c>
      <c r="B3" s="121"/>
      <c r="C3" s="104"/>
      <c r="D3" s="104"/>
      <c r="E3" s="104"/>
      <c r="F3" s="3"/>
      <c r="G3" s="2"/>
      <c r="H3" s="2" t="s">
        <v>4</v>
      </c>
      <c r="I3" s="121" t="s">
        <v>5</v>
      </c>
      <c r="J3" s="104"/>
      <c r="K3" s="104"/>
      <c r="L3" s="3"/>
      <c r="M3" s="3"/>
      <c r="N3" s="3"/>
      <c r="O3" s="3"/>
      <c r="P3" s="128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4"/>
      <c r="AU3" s="104"/>
      <c r="AV3" s="104"/>
      <c r="AW3" s="104"/>
      <c r="AX3" s="104"/>
      <c r="AY3" s="104"/>
      <c r="AZ3" s="104"/>
      <c r="BA3" s="104"/>
      <c r="BB3" s="104"/>
      <c r="BC3" s="104"/>
      <c r="BD3" s="104"/>
      <c r="BE3" s="104"/>
      <c r="BF3" s="104"/>
      <c r="BG3" s="104"/>
      <c r="BH3" s="104"/>
      <c r="BI3" s="104"/>
      <c r="BJ3" s="104"/>
      <c r="BK3" s="104"/>
      <c r="BL3" s="104"/>
      <c r="BM3" s="104"/>
      <c r="BN3" s="104"/>
      <c r="BO3" s="104"/>
      <c r="BP3" s="104"/>
      <c r="BQ3" s="104"/>
      <c r="BR3" s="104"/>
      <c r="BS3" s="104"/>
      <c r="BT3" s="104"/>
      <c r="BU3" s="104"/>
      <c r="BV3" s="104"/>
      <c r="BW3" s="104"/>
      <c r="BX3" s="104"/>
      <c r="BY3" s="104"/>
      <c r="BZ3" s="104"/>
      <c r="CA3" s="104"/>
      <c r="CB3" s="104"/>
    </row>
    <row r="4" spans="1:80" ht="39.75" customHeight="1" x14ac:dyDescent="0.25">
      <c r="A4" s="54" t="s">
        <v>6</v>
      </c>
      <c r="B4" s="121"/>
      <c r="C4" s="104"/>
      <c r="D4" s="104"/>
      <c r="E4" s="104"/>
      <c r="F4" s="3"/>
      <c r="G4" s="2"/>
      <c r="H4" s="2" t="s">
        <v>7</v>
      </c>
      <c r="I4" s="121" t="s">
        <v>8</v>
      </c>
      <c r="J4" s="104"/>
      <c r="K4" s="104"/>
      <c r="L4" s="3"/>
      <c r="M4" s="3"/>
      <c r="N4" s="3"/>
      <c r="O4" s="3"/>
      <c r="P4" s="128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4"/>
      <c r="AO4" s="104"/>
      <c r="AP4" s="104"/>
      <c r="AQ4" s="104"/>
      <c r="AR4" s="104"/>
      <c r="AS4" s="104"/>
      <c r="AT4" s="104"/>
      <c r="AU4" s="104"/>
      <c r="AV4" s="104"/>
      <c r="AW4" s="104"/>
      <c r="AX4" s="104"/>
      <c r="AY4" s="104"/>
      <c r="AZ4" s="104"/>
      <c r="BA4" s="104"/>
      <c r="BB4" s="104"/>
      <c r="BC4" s="104"/>
      <c r="BD4" s="104"/>
      <c r="BE4" s="104"/>
      <c r="BF4" s="104"/>
      <c r="BG4" s="104"/>
      <c r="BH4" s="104"/>
      <c r="BI4" s="104"/>
      <c r="BJ4" s="104"/>
      <c r="BK4" s="104"/>
      <c r="BL4" s="104"/>
      <c r="BM4" s="104"/>
      <c r="BN4" s="104"/>
      <c r="BO4" s="104"/>
      <c r="BP4" s="104"/>
      <c r="BQ4" s="104"/>
      <c r="BR4" s="104"/>
      <c r="BS4" s="104"/>
      <c r="BT4" s="104"/>
      <c r="BU4" s="104"/>
      <c r="BV4" s="104"/>
      <c r="BW4" s="104"/>
      <c r="BX4" s="104"/>
      <c r="BY4" s="104"/>
      <c r="BZ4" s="104"/>
      <c r="CA4" s="104"/>
      <c r="CB4" s="104"/>
    </row>
    <row r="5" spans="1:80" ht="21.75" customHeight="1" x14ac:dyDescent="0.25">
      <c r="A5" s="129" t="s">
        <v>9</v>
      </c>
      <c r="B5" s="104"/>
      <c r="C5" s="104"/>
      <c r="D5" s="104"/>
      <c r="E5" s="132" t="s">
        <v>10</v>
      </c>
      <c r="F5" s="104"/>
      <c r="G5" s="104"/>
      <c r="H5" s="104"/>
      <c r="I5" s="104"/>
      <c r="J5" s="4">
        <f>SUM(J16,J23,J30,J41,J49)</f>
        <v>0</v>
      </c>
      <c r="K5" s="1" t="s">
        <v>11</v>
      </c>
      <c r="L5" s="4">
        <f>IFERROR(SUM(L16,L23,L30,L41,L49),"")</f>
        <v>0</v>
      </c>
      <c r="M5" s="5"/>
      <c r="N5" s="5"/>
      <c r="O5" s="5"/>
      <c r="P5" s="126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4"/>
      <c r="BR5" s="104"/>
      <c r="BS5" s="104"/>
      <c r="BT5" s="104"/>
      <c r="BU5" s="104"/>
      <c r="BV5" s="104"/>
      <c r="BW5" s="104"/>
      <c r="BX5" s="104"/>
      <c r="BY5" s="104"/>
      <c r="BZ5" s="104"/>
      <c r="CA5" s="104"/>
      <c r="CB5" s="104"/>
    </row>
    <row r="6" spans="1:80" ht="21.75" customHeight="1" x14ac:dyDescent="0.25">
      <c r="A6" s="120" t="s">
        <v>12</v>
      </c>
      <c r="B6" s="104"/>
      <c r="C6" s="104"/>
      <c r="D6" s="104"/>
      <c r="E6" s="6">
        <f>SUM(E16,E23,E30,E41,E49)</f>
        <v>0</v>
      </c>
      <c r="F6" s="6">
        <f>SUM(F16,F23,F30,F41,F49)</f>
        <v>0</v>
      </c>
      <c r="G6" s="6">
        <f>SUM(G16,G23,G30,G41,G49)</f>
        <v>0</v>
      </c>
      <c r="H6" s="6">
        <f>SUM(H16,H23,H30,H41,H49)</f>
        <v>0</v>
      </c>
      <c r="I6" s="6">
        <f>SUM(I16,I23,I30,I41,I49)</f>
        <v>0</v>
      </c>
      <c r="J6" s="7"/>
      <c r="K6" s="7"/>
      <c r="L6" s="7"/>
      <c r="M6" s="7"/>
      <c r="N6" s="7"/>
      <c r="O6" s="7"/>
      <c r="P6" s="51">
        <f t="shared" ref="P6:U6" si="0">WORKDAY.INTL($I$2, COLUMN(A1), 1)</f>
        <v>46140</v>
      </c>
      <c r="Q6" s="8">
        <f t="shared" si="0"/>
        <v>46141</v>
      </c>
      <c r="R6" s="8">
        <f t="shared" si="0"/>
        <v>46142</v>
      </c>
      <c r="S6" s="8">
        <f t="shared" si="0"/>
        <v>46143</v>
      </c>
      <c r="T6" s="8">
        <f t="shared" si="0"/>
        <v>46146</v>
      </c>
      <c r="U6" s="51">
        <f t="shared" si="0"/>
        <v>46147</v>
      </c>
      <c r="V6" s="8">
        <f t="shared" ref="V6:AA6" si="1">WORKDAY.INTL($I$2, COLUMN(H1), 1)</f>
        <v>46149</v>
      </c>
      <c r="W6" s="8">
        <f t="shared" si="1"/>
        <v>46150</v>
      </c>
      <c r="X6" s="8">
        <f t="shared" si="1"/>
        <v>46153</v>
      </c>
      <c r="Y6" s="8">
        <f t="shared" si="1"/>
        <v>46154</v>
      </c>
      <c r="Z6" s="51">
        <f t="shared" si="1"/>
        <v>46155</v>
      </c>
      <c r="AA6" s="8">
        <f t="shared" si="1"/>
        <v>46156</v>
      </c>
      <c r="AB6" s="8" t="e">
        <f>WORKDAY.INTL($I$2, COLUMN(#REF!), 1)</f>
        <v>#REF!</v>
      </c>
      <c r="AC6" s="8">
        <f t="shared" ref="AC6:BH6" si="2">WORKDAY.INTL($I$2, COLUMN(N1), 1)</f>
        <v>46157</v>
      </c>
      <c r="AD6" s="8">
        <f t="shared" si="2"/>
        <v>46160</v>
      </c>
      <c r="AE6" s="51">
        <f t="shared" si="2"/>
        <v>46161</v>
      </c>
      <c r="AF6" s="8">
        <f t="shared" si="2"/>
        <v>46162</v>
      </c>
      <c r="AG6" s="8">
        <f t="shared" si="2"/>
        <v>46163</v>
      </c>
      <c r="AH6" s="8">
        <f t="shared" si="2"/>
        <v>46164</v>
      </c>
      <c r="AI6" s="8">
        <f t="shared" si="2"/>
        <v>46167</v>
      </c>
      <c r="AJ6" s="51">
        <f t="shared" si="2"/>
        <v>46168</v>
      </c>
      <c r="AK6" s="8">
        <f t="shared" si="2"/>
        <v>46169</v>
      </c>
      <c r="AL6" s="8">
        <f t="shared" si="2"/>
        <v>46170</v>
      </c>
      <c r="AM6" s="8">
        <f t="shared" si="2"/>
        <v>46171</v>
      </c>
      <c r="AN6" s="8">
        <f t="shared" si="2"/>
        <v>46174</v>
      </c>
      <c r="AO6" s="51">
        <f t="shared" si="2"/>
        <v>46175</v>
      </c>
      <c r="AP6" s="8">
        <f t="shared" si="2"/>
        <v>46176</v>
      </c>
      <c r="AQ6" s="8">
        <f t="shared" si="2"/>
        <v>46177</v>
      </c>
      <c r="AR6" s="8">
        <f t="shared" si="2"/>
        <v>46178</v>
      </c>
      <c r="AS6" s="8">
        <f t="shared" si="2"/>
        <v>46181</v>
      </c>
      <c r="AT6" s="51">
        <f t="shared" si="2"/>
        <v>46182</v>
      </c>
      <c r="AU6" s="8">
        <f t="shared" si="2"/>
        <v>46183</v>
      </c>
      <c r="AV6" s="8">
        <f t="shared" si="2"/>
        <v>46184</v>
      </c>
      <c r="AW6" s="8">
        <f t="shared" si="2"/>
        <v>46185</v>
      </c>
      <c r="AX6" s="8">
        <f t="shared" si="2"/>
        <v>46188</v>
      </c>
      <c r="AY6" s="51">
        <f t="shared" si="2"/>
        <v>46189</v>
      </c>
      <c r="AZ6" s="8">
        <f t="shared" si="2"/>
        <v>46190</v>
      </c>
      <c r="BA6" s="8">
        <f t="shared" si="2"/>
        <v>46191</v>
      </c>
      <c r="BB6" s="8">
        <f t="shared" si="2"/>
        <v>46192</v>
      </c>
      <c r="BC6" s="8">
        <f t="shared" si="2"/>
        <v>46195</v>
      </c>
      <c r="BD6" s="51">
        <f t="shared" si="2"/>
        <v>46196</v>
      </c>
      <c r="BE6" s="8">
        <f t="shared" si="2"/>
        <v>46197</v>
      </c>
      <c r="BF6" s="8">
        <f t="shared" si="2"/>
        <v>46198</v>
      </c>
      <c r="BG6" s="8">
        <f t="shared" si="2"/>
        <v>46199</v>
      </c>
      <c r="BH6" s="8">
        <f t="shared" si="2"/>
        <v>46202</v>
      </c>
      <c r="BI6" s="51">
        <f t="shared" ref="BI6:CB6" si="3">WORKDAY.INTL($I$2, COLUMN(AT1), 1)</f>
        <v>46203</v>
      </c>
      <c r="BJ6" s="8">
        <f t="shared" si="3"/>
        <v>46204</v>
      </c>
      <c r="BK6" s="8">
        <f t="shared" si="3"/>
        <v>46205</v>
      </c>
      <c r="BL6" s="8">
        <f t="shared" si="3"/>
        <v>46206</v>
      </c>
      <c r="BM6" s="8">
        <f t="shared" si="3"/>
        <v>46209</v>
      </c>
      <c r="BN6" s="51">
        <f t="shared" si="3"/>
        <v>46210</v>
      </c>
      <c r="BO6" s="8">
        <f t="shared" si="3"/>
        <v>46211</v>
      </c>
      <c r="BP6" s="8">
        <f t="shared" si="3"/>
        <v>46212</v>
      </c>
      <c r="BQ6" s="8">
        <f t="shared" si="3"/>
        <v>46213</v>
      </c>
      <c r="BR6" s="8">
        <f t="shared" si="3"/>
        <v>46216</v>
      </c>
      <c r="BS6" s="51">
        <f t="shared" si="3"/>
        <v>46217</v>
      </c>
      <c r="BT6" s="8">
        <f t="shared" si="3"/>
        <v>46218</v>
      </c>
      <c r="BU6" s="8">
        <f t="shared" si="3"/>
        <v>46219</v>
      </c>
      <c r="BV6" s="8">
        <f t="shared" si="3"/>
        <v>46220</v>
      </c>
      <c r="BW6" s="8">
        <f t="shared" si="3"/>
        <v>46223</v>
      </c>
      <c r="BX6" s="51">
        <f t="shared" si="3"/>
        <v>46224</v>
      </c>
      <c r="BY6" s="8">
        <f t="shared" si="3"/>
        <v>46225</v>
      </c>
      <c r="BZ6" s="8">
        <f t="shared" si="3"/>
        <v>46226</v>
      </c>
      <c r="CA6" s="8">
        <f t="shared" si="3"/>
        <v>46227</v>
      </c>
      <c r="CB6" s="8">
        <f t="shared" si="3"/>
        <v>46230</v>
      </c>
    </row>
    <row r="7" spans="1:80" ht="19.5" customHeight="1" x14ac:dyDescent="0.25">
      <c r="A7" s="3"/>
      <c r="B7" s="3"/>
      <c r="C7" s="3"/>
      <c r="D7" s="3"/>
      <c r="E7" s="9" t="s">
        <v>13</v>
      </c>
      <c r="F7" s="10" t="s">
        <v>14</v>
      </c>
      <c r="G7" s="11" t="s">
        <v>15</v>
      </c>
      <c r="H7" s="66" t="s">
        <v>16</v>
      </c>
      <c r="I7" s="12" t="s">
        <v>17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</row>
    <row r="8" spans="1:80" ht="21.75" customHeight="1" x14ac:dyDescent="0.25">
      <c r="A8" s="13" t="s">
        <v>18</v>
      </c>
      <c r="B8" s="13" t="s">
        <v>19</v>
      </c>
      <c r="C8" s="13" t="s">
        <v>20</v>
      </c>
      <c r="D8" s="13" t="s">
        <v>21</v>
      </c>
      <c r="E8" s="14" t="s">
        <v>22</v>
      </c>
      <c r="F8" s="15" t="s">
        <v>22</v>
      </c>
      <c r="G8" s="16" t="s">
        <v>22</v>
      </c>
      <c r="H8" s="67" t="s">
        <v>22</v>
      </c>
      <c r="I8" s="17" t="s">
        <v>22</v>
      </c>
      <c r="J8" s="13" t="s">
        <v>23</v>
      </c>
      <c r="K8" s="13" t="s">
        <v>24</v>
      </c>
      <c r="L8" s="13" t="s">
        <v>25</v>
      </c>
      <c r="M8" s="13" t="s">
        <v>26</v>
      </c>
      <c r="N8" s="18" t="s">
        <v>27</v>
      </c>
      <c r="O8" s="18" t="s">
        <v>28</v>
      </c>
      <c r="P8" s="19" t="s">
        <v>29</v>
      </c>
      <c r="Q8" s="20" t="s">
        <v>30</v>
      </c>
      <c r="R8" s="20" t="s">
        <v>30</v>
      </c>
      <c r="S8" s="20" t="s">
        <v>31</v>
      </c>
      <c r="T8" s="20" t="s">
        <v>32</v>
      </c>
      <c r="U8" s="19" t="s">
        <v>29</v>
      </c>
      <c r="V8" s="20" t="s">
        <v>30</v>
      </c>
      <c r="W8" s="20" t="s">
        <v>30</v>
      </c>
      <c r="X8" s="20" t="s">
        <v>31</v>
      </c>
      <c r="Y8" s="20" t="s">
        <v>32</v>
      </c>
      <c r="Z8" s="19" t="s">
        <v>29</v>
      </c>
      <c r="AA8" s="20" t="s">
        <v>30</v>
      </c>
      <c r="AB8" s="20" t="s">
        <v>30</v>
      </c>
      <c r="AC8" s="20" t="s">
        <v>31</v>
      </c>
      <c r="AD8" s="20" t="s">
        <v>32</v>
      </c>
      <c r="AE8" s="19" t="s">
        <v>29</v>
      </c>
      <c r="AF8" s="20" t="s">
        <v>30</v>
      </c>
      <c r="AG8" s="20" t="s">
        <v>30</v>
      </c>
      <c r="AH8" s="20" t="s">
        <v>31</v>
      </c>
      <c r="AI8" s="20" t="s">
        <v>32</v>
      </c>
      <c r="AJ8" s="19" t="s">
        <v>29</v>
      </c>
      <c r="AK8" s="20" t="s">
        <v>30</v>
      </c>
      <c r="AL8" s="20" t="s">
        <v>30</v>
      </c>
      <c r="AM8" s="20" t="s">
        <v>31</v>
      </c>
      <c r="AN8" s="20" t="s">
        <v>32</v>
      </c>
      <c r="AO8" s="19" t="s">
        <v>29</v>
      </c>
      <c r="AP8" s="20" t="s">
        <v>30</v>
      </c>
      <c r="AQ8" s="20" t="s">
        <v>30</v>
      </c>
      <c r="AR8" s="20" t="s">
        <v>31</v>
      </c>
      <c r="AS8" s="20" t="s">
        <v>32</v>
      </c>
      <c r="AT8" s="19" t="s">
        <v>29</v>
      </c>
      <c r="AU8" s="20" t="s">
        <v>30</v>
      </c>
      <c r="AV8" s="20" t="s">
        <v>30</v>
      </c>
      <c r="AW8" s="20" t="s">
        <v>31</v>
      </c>
      <c r="AX8" s="20" t="s">
        <v>32</v>
      </c>
      <c r="AY8" s="19" t="s">
        <v>29</v>
      </c>
      <c r="AZ8" s="20" t="s">
        <v>30</v>
      </c>
      <c r="BA8" s="20" t="s">
        <v>30</v>
      </c>
      <c r="BB8" s="20" t="s">
        <v>31</v>
      </c>
      <c r="BC8" s="20" t="s">
        <v>32</v>
      </c>
      <c r="BD8" s="19" t="s">
        <v>29</v>
      </c>
      <c r="BE8" s="20" t="s">
        <v>30</v>
      </c>
      <c r="BF8" s="20" t="s">
        <v>30</v>
      </c>
      <c r="BG8" s="20" t="s">
        <v>31</v>
      </c>
      <c r="BH8" s="20" t="s">
        <v>32</v>
      </c>
      <c r="BI8" s="19" t="s">
        <v>29</v>
      </c>
      <c r="BJ8" s="20" t="s">
        <v>30</v>
      </c>
      <c r="BK8" s="20" t="s">
        <v>30</v>
      </c>
      <c r="BL8" s="20" t="s">
        <v>31</v>
      </c>
      <c r="BM8" s="20" t="s">
        <v>32</v>
      </c>
      <c r="BN8" s="19" t="s">
        <v>29</v>
      </c>
      <c r="BO8" s="20" t="s">
        <v>30</v>
      </c>
      <c r="BP8" s="20" t="s">
        <v>30</v>
      </c>
      <c r="BQ8" s="20" t="s">
        <v>31</v>
      </c>
      <c r="BR8" s="20" t="s">
        <v>32</v>
      </c>
      <c r="BS8" s="19" t="s">
        <v>29</v>
      </c>
      <c r="BT8" s="20" t="s">
        <v>30</v>
      </c>
      <c r="BU8" s="20" t="s">
        <v>30</v>
      </c>
      <c r="BV8" s="20" t="s">
        <v>31</v>
      </c>
      <c r="BW8" s="20" t="s">
        <v>32</v>
      </c>
      <c r="BX8" s="19" t="s">
        <v>29</v>
      </c>
      <c r="BY8" s="20" t="s">
        <v>30</v>
      </c>
      <c r="BZ8" s="20" t="s">
        <v>30</v>
      </c>
      <c r="CA8" s="20" t="s">
        <v>31</v>
      </c>
      <c r="CB8" s="20" t="s">
        <v>32</v>
      </c>
    </row>
    <row r="9" spans="1:80" ht="21.75" customHeight="1" x14ac:dyDescent="0.25">
      <c r="A9" s="127" t="s">
        <v>33</v>
      </c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</row>
    <row r="10" spans="1:80" ht="18.75" customHeight="1" x14ac:dyDescent="0.25">
      <c r="A10" s="102" t="s">
        <v>34</v>
      </c>
      <c r="B10" s="22" t="s">
        <v>35</v>
      </c>
      <c r="C10" s="23"/>
      <c r="D10" s="23"/>
      <c r="E10" s="72"/>
      <c r="F10" s="36"/>
      <c r="G10" s="44"/>
      <c r="H10" s="68"/>
      <c r="I10" s="25"/>
      <c r="J10" s="26">
        <f>IFERROR(SUM(E10:I10),"")</f>
        <v>0</v>
      </c>
      <c r="K10" s="27">
        <v>1.1499999999999999</v>
      </c>
      <c r="L10" s="26">
        <f t="shared" ref="L10:L15" si="4">IFERROR(J10*K10,"")</f>
        <v>0</v>
      </c>
      <c r="M10" s="52">
        <v>0</v>
      </c>
      <c r="N10" s="28"/>
      <c r="O10" s="28"/>
      <c r="P10" s="29"/>
      <c r="Q10" s="30"/>
      <c r="R10" s="30"/>
      <c r="S10" s="30"/>
      <c r="T10" s="30"/>
      <c r="U10" s="29"/>
      <c r="V10" s="30"/>
      <c r="W10" s="30"/>
      <c r="X10" s="30"/>
      <c r="Y10" s="30"/>
      <c r="Z10" s="29"/>
      <c r="AA10" s="30"/>
      <c r="AB10" s="30"/>
      <c r="AC10" s="30"/>
      <c r="AD10" s="30"/>
      <c r="AE10" s="29"/>
      <c r="AF10" s="30"/>
      <c r="AG10" s="30"/>
      <c r="AH10" s="30"/>
      <c r="AI10" s="30"/>
      <c r="AJ10" s="29"/>
      <c r="AK10" s="30"/>
      <c r="AL10" s="30"/>
      <c r="AM10" s="30"/>
      <c r="AN10" s="30"/>
      <c r="AO10" s="29"/>
      <c r="AP10" s="30"/>
      <c r="AQ10" s="30"/>
      <c r="AR10" s="30"/>
      <c r="AS10" s="30"/>
      <c r="AT10" s="29"/>
      <c r="AU10" s="30"/>
      <c r="AV10" s="30"/>
      <c r="AW10" s="30"/>
      <c r="AX10" s="30"/>
      <c r="AY10" s="29"/>
      <c r="AZ10" s="30"/>
      <c r="BA10" s="30"/>
      <c r="BB10" s="30"/>
      <c r="BC10" s="30"/>
      <c r="BD10" s="29"/>
      <c r="BE10" s="30"/>
      <c r="BF10" s="30"/>
      <c r="BG10" s="30"/>
      <c r="BH10" s="30"/>
      <c r="BI10" s="29"/>
      <c r="BJ10" s="30"/>
      <c r="BK10" s="30"/>
      <c r="BL10" s="30"/>
      <c r="BM10" s="30"/>
      <c r="BN10" s="29"/>
      <c r="BO10" s="30"/>
      <c r="BP10" s="30"/>
      <c r="BQ10" s="30"/>
      <c r="BR10" s="30"/>
      <c r="BS10" s="29"/>
      <c r="BT10" s="30"/>
      <c r="BU10" s="30"/>
      <c r="BV10" s="30"/>
      <c r="BW10" s="30"/>
      <c r="BX10" s="29"/>
      <c r="BY10" s="30"/>
      <c r="BZ10" s="30"/>
      <c r="CA10" s="30"/>
      <c r="CB10" s="30"/>
    </row>
    <row r="11" spans="1:80" ht="18.75" customHeight="1" x14ac:dyDescent="0.25">
      <c r="A11" s="31" t="s">
        <v>36</v>
      </c>
      <c r="B11" s="32" t="s">
        <v>37</v>
      </c>
      <c r="C11" s="23"/>
      <c r="D11" s="23"/>
      <c r="E11" s="72"/>
      <c r="F11" s="25"/>
      <c r="G11" s="44"/>
      <c r="H11" s="25"/>
      <c r="I11" s="25"/>
      <c r="J11" s="33">
        <f>IFERROR(E11+F11+H11+I11,"")</f>
        <v>0</v>
      </c>
      <c r="K11" s="27">
        <v>1.1499999999999999</v>
      </c>
      <c r="L11" s="33">
        <f t="shared" si="4"/>
        <v>0</v>
      </c>
      <c r="M11" s="52">
        <v>0</v>
      </c>
      <c r="N11" s="28"/>
      <c r="O11" s="28"/>
      <c r="P11" s="34"/>
      <c r="Q11" s="35"/>
      <c r="R11" s="35"/>
      <c r="S11" s="35"/>
      <c r="T11" s="35"/>
      <c r="U11" s="34"/>
      <c r="V11" s="35"/>
      <c r="W11" s="35"/>
      <c r="X11" s="35"/>
      <c r="Y11" s="35"/>
      <c r="Z11" s="34"/>
      <c r="AA11" s="35"/>
      <c r="AB11" s="35"/>
      <c r="AC11" s="35"/>
      <c r="AD11" s="35"/>
      <c r="AE11" s="34"/>
      <c r="AF11" s="35"/>
      <c r="AG11" s="35"/>
      <c r="AH11" s="35"/>
      <c r="AI11" s="35"/>
      <c r="AJ11" s="34"/>
      <c r="AK11" s="35"/>
      <c r="AL11" s="35"/>
      <c r="AM11" s="35"/>
      <c r="AN11" s="35"/>
      <c r="AO11" s="34"/>
      <c r="AP11" s="35"/>
      <c r="AQ11" s="35"/>
      <c r="AR11" s="35"/>
      <c r="AS11" s="35"/>
      <c r="AT11" s="34"/>
      <c r="AU11" s="35"/>
      <c r="AV11" s="35"/>
      <c r="AW11" s="35"/>
      <c r="AX11" s="35"/>
      <c r="AY11" s="34"/>
      <c r="AZ11" s="35"/>
      <c r="BA11" s="35"/>
      <c r="BB11" s="35"/>
      <c r="BC11" s="35"/>
      <c r="BD11" s="34"/>
      <c r="BE11" s="35"/>
      <c r="BF11" s="35"/>
      <c r="BG11" s="35"/>
      <c r="BH11" s="35"/>
      <c r="BI11" s="34"/>
      <c r="BJ11" s="35"/>
      <c r="BK11" s="35"/>
      <c r="BL11" s="35"/>
      <c r="BM11" s="35"/>
      <c r="BN11" s="34"/>
      <c r="BO11" s="35"/>
      <c r="BP11" s="35"/>
      <c r="BQ11" s="35"/>
      <c r="BR11" s="35"/>
      <c r="BS11" s="34"/>
      <c r="BT11" s="35"/>
      <c r="BU11" s="35"/>
      <c r="BV11" s="35"/>
      <c r="BW11" s="35"/>
      <c r="BX11" s="34"/>
      <c r="BY11" s="35"/>
      <c r="BZ11" s="35"/>
      <c r="CA11" s="35"/>
      <c r="CB11" s="35"/>
    </row>
    <row r="12" spans="1:80" ht="18.75" customHeight="1" x14ac:dyDescent="0.25">
      <c r="A12" s="75" t="s">
        <v>38</v>
      </c>
      <c r="B12" s="65" t="s">
        <v>39</v>
      </c>
      <c r="C12" s="23"/>
      <c r="D12" s="23"/>
      <c r="E12" s="72"/>
      <c r="F12" s="25"/>
      <c r="G12" s="25"/>
      <c r="H12" s="25"/>
      <c r="I12" s="25"/>
      <c r="J12" s="33">
        <f>IFERROR(E12+F12+H12+I12,"")</f>
        <v>0</v>
      </c>
      <c r="K12" s="27">
        <v>1.1499999999999999</v>
      </c>
      <c r="L12" s="33">
        <f t="shared" si="4"/>
        <v>0</v>
      </c>
      <c r="M12" s="52">
        <v>0</v>
      </c>
      <c r="N12" s="28"/>
      <c r="O12" s="28"/>
      <c r="P12" s="34"/>
      <c r="Q12" s="35"/>
      <c r="R12" s="35"/>
      <c r="S12" s="35"/>
      <c r="T12" s="35"/>
      <c r="U12" s="34"/>
      <c r="V12" s="35"/>
      <c r="W12" s="35"/>
      <c r="X12" s="35"/>
      <c r="Y12" s="35"/>
      <c r="Z12" s="34"/>
      <c r="AA12" s="35"/>
      <c r="AB12" s="35"/>
      <c r="AC12" s="35"/>
      <c r="AD12" s="35"/>
      <c r="AE12" s="34"/>
      <c r="AF12" s="35"/>
      <c r="AG12" s="35"/>
      <c r="AH12" s="35"/>
      <c r="AI12" s="35"/>
      <c r="AJ12" s="34"/>
      <c r="AK12" s="35"/>
      <c r="AL12" s="35"/>
      <c r="AM12" s="35"/>
      <c r="AN12" s="35"/>
      <c r="AO12" s="34"/>
      <c r="AP12" s="35"/>
      <c r="AQ12" s="35"/>
      <c r="AR12" s="35"/>
      <c r="AS12" s="35"/>
      <c r="AT12" s="34"/>
      <c r="AU12" s="35"/>
      <c r="AV12" s="35"/>
      <c r="AW12" s="35"/>
      <c r="AX12" s="35"/>
      <c r="AY12" s="34"/>
      <c r="AZ12" s="35"/>
      <c r="BA12" s="35"/>
      <c r="BB12" s="35"/>
      <c r="BC12" s="35"/>
      <c r="BD12" s="34"/>
      <c r="BE12" s="35"/>
      <c r="BF12" s="35"/>
      <c r="BG12" s="35"/>
      <c r="BH12" s="35"/>
      <c r="BI12" s="34"/>
      <c r="BJ12" s="35"/>
      <c r="BK12" s="35"/>
      <c r="BL12" s="35"/>
      <c r="BM12" s="35"/>
      <c r="BN12" s="34"/>
      <c r="BO12" s="35"/>
      <c r="BP12" s="35"/>
      <c r="BQ12" s="35"/>
      <c r="BR12" s="35"/>
      <c r="BS12" s="34"/>
      <c r="BT12" s="35"/>
      <c r="BU12" s="35"/>
      <c r="BV12" s="35"/>
      <c r="BW12" s="35"/>
      <c r="BX12" s="34"/>
      <c r="BY12" s="35"/>
      <c r="BZ12" s="35"/>
      <c r="CA12" s="35"/>
      <c r="CB12" s="35"/>
    </row>
    <row r="13" spans="1:80" ht="18.75" customHeight="1" x14ac:dyDescent="0.25">
      <c r="A13" s="31" t="s">
        <v>40</v>
      </c>
      <c r="B13" s="32" t="s">
        <v>41</v>
      </c>
      <c r="C13" s="23"/>
      <c r="D13" s="23"/>
      <c r="E13" s="24"/>
      <c r="F13" s="36"/>
      <c r="G13" s="44"/>
      <c r="H13" s="69"/>
      <c r="I13" s="25"/>
      <c r="J13" s="33">
        <f>IFERROR(E13+F13+H13+I13,"")</f>
        <v>0</v>
      </c>
      <c r="K13" s="27">
        <v>1.1499999999999999</v>
      </c>
      <c r="L13" s="33">
        <f t="shared" si="4"/>
        <v>0</v>
      </c>
      <c r="M13" s="52">
        <v>0</v>
      </c>
      <c r="N13" s="28"/>
      <c r="O13" s="28"/>
      <c r="P13" s="34"/>
      <c r="Q13" s="35"/>
      <c r="R13" s="35"/>
      <c r="S13" s="35"/>
      <c r="T13" s="35"/>
      <c r="U13" s="34"/>
      <c r="V13" s="35"/>
      <c r="W13" s="35"/>
      <c r="X13" s="35"/>
      <c r="Y13" s="35"/>
      <c r="Z13" s="34"/>
      <c r="AA13" s="35"/>
      <c r="AB13" s="35"/>
      <c r="AC13" s="35"/>
      <c r="AD13" s="35"/>
      <c r="AE13" s="34"/>
      <c r="AF13" s="35"/>
      <c r="AG13" s="35"/>
      <c r="AH13" s="35"/>
      <c r="AI13" s="35"/>
      <c r="AJ13" s="34"/>
      <c r="AK13" s="35"/>
      <c r="AL13" s="35"/>
      <c r="AM13" s="35"/>
      <c r="AN13" s="35"/>
      <c r="AO13" s="34"/>
      <c r="AP13" s="35"/>
      <c r="AQ13" s="35"/>
      <c r="AR13" s="35"/>
      <c r="AS13" s="35"/>
      <c r="AT13" s="34"/>
      <c r="AU13" s="35"/>
      <c r="AV13" s="35"/>
      <c r="AW13" s="35"/>
      <c r="AX13" s="35"/>
      <c r="AY13" s="34"/>
      <c r="AZ13" s="35"/>
      <c r="BA13" s="35"/>
      <c r="BB13" s="35"/>
      <c r="BC13" s="35"/>
      <c r="BD13" s="34"/>
      <c r="BE13" s="35"/>
      <c r="BF13" s="35"/>
      <c r="BG13" s="35"/>
      <c r="BH13" s="35"/>
      <c r="BI13" s="34"/>
      <c r="BJ13" s="35"/>
      <c r="BK13" s="35"/>
      <c r="BL13" s="35"/>
      <c r="BM13" s="35"/>
      <c r="BN13" s="34"/>
      <c r="BO13" s="35"/>
      <c r="BP13" s="35"/>
      <c r="BQ13" s="35"/>
      <c r="BR13" s="35"/>
      <c r="BS13" s="34"/>
      <c r="BT13" s="35"/>
      <c r="BU13" s="35"/>
      <c r="BV13" s="35"/>
      <c r="BW13" s="35"/>
      <c r="BX13" s="34"/>
      <c r="BY13" s="35"/>
      <c r="BZ13" s="35"/>
      <c r="CA13" s="35"/>
      <c r="CB13" s="35"/>
    </row>
    <row r="14" spans="1:80" ht="18.75" customHeight="1" x14ac:dyDescent="0.25">
      <c r="A14" s="75" t="s">
        <v>42</v>
      </c>
      <c r="B14" s="65" t="s">
        <v>43</v>
      </c>
      <c r="C14" s="23"/>
      <c r="D14" s="23"/>
      <c r="E14" s="72"/>
      <c r="F14" s="25"/>
      <c r="G14" s="25"/>
      <c r="H14" s="25"/>
      <c r="I14" s="25"/>
      <c r="J14" s="33">
        <f>IFERROR(E14+F14+H14+I14,"")</f>
        <v>0</v>
      </c>
      <c r="K14" s="27">
        <v>1.1499999999999999</v>
      </c>
      <c r="L14" s="33">
        <f t="shared" si="4"/>
        <v>0</v>
      </c>
      <c r="M14" s="52">
        <v>0</v>
      </c>
      <c r="N14" s="28"/>
      <c r="O14" s="28"/>
      <c r="P14" s="34"/>
      <c r="Q14" s="35"/>
      <c r="R14" s="35"/>
      <c r="S14" s="35"/>
      <c r="T14" s="35"/>
      <c r="U14" s="34"/>
      <c r="V14" s="35"/>
      <c r="W14" s="35"/>
      <c r="X14" s="35"/>
      <c r="Y14" s="35"/>
      <c r="Z14" s="34"/>
      <c r="AA14" s="35"/>
      <c r="AB14" s="35"/>
      <c r="AC14" s="35"/>
      <c r="AD14" s="35"/>
      <c r="AE14" s="34"/>
      <c r="AF14" s="35"/>
      <c r="AG14" s="35"/>
      <c r="AH14" s="35"/>
      <c r="AI14" s="35"/>
      <c r="AJ14" s="34"/>
      <c r="AK14" s="35"/>
      <c r="AL14" s="35"/>
      <c r="AM14" s="35"/>
      <c r="AN14" s="35"/>
      <c r="AO14" s="34"/>
      <c r="AP14" s="35"/>
      <c r="AQ14" s="35"/>
      <c r="AR14" s="35"/>
      <c r="AS14" s="35"/>
      <c r="AT14" s="34"/>
      <c r="AU14" s="35"/>
      <c r="AV14" s="35"/>
      <c r="AW14" s="35"/>
      <c r="AX14" s="35"/>
      <c r="AY14" s="34"/>
      <c r="AZ14" s="35"/>
      <c r="BA14" s="35"/>
      <c r="BB14" s="35"/>
      <c r="BC14" s="35"/>
      <c r="BD14" s="34"/>
      <c r="BE14" s="35"/>
      <c r="BF14" s="35"/>
      <c r="BG14" s="35"/>
      <c r="BH14" s="35"/>
      <c r="BI14" s="34"/>
      <c r="BJ14" s="35"/>
      <c r="BK14" s="35"/>
      <c r="BL14" s="35"/>
      <c r="BM14" s="35"/>
      <c r="BN14" s="34"/>
      <c r="BO14" s="35"/>
      <c r="BP14" s="35"/>
      <c r="BQ14" s="35"/>
      <c r="BR14" s="35"/>
      <c r="BS14" s="34"/>
      <c r="BT14" s="35"/>
      <c r="BU14" s="35"/>
      <c r="BV14" s="35"/>
      <c r="BW14" s="35"/>
      <c r="BX14" s="34"/>
      <c r="BY14" s="35"/>
      <c r="BZ14" s="35"/>
      <c r="CA14" s="35"/>
      <c r="CB14" s="35"/>
    </row>
    <row r="15" spans="1:80" ht="18.75" customHeight="1" x14ac:dyDescent="0.25">
      <c r="A15" s="31" t="s">
        <v>44</v>
      </c>
      <c r="B15" s="32" t="s">
        <v>45</v>
      </c>
      <c r="C15" s="23"/>
      <c r="D15" s="23"/>
      <c r="E15" s="72"/>
      <c r="F15" s="25"/>
      <c r="G15" s="44"/>
      <c r="H15" s="25"/>
      <c r="I15" s="25"/>
      <c r="J15" s="33">
        <f>IFERROR(E15+F15+H15+I15,"")</f>
        <v>0</v>
      </c>
      <c r="K15" s="27">
        <v>1.1499999999999999</v>
      </c>
      <c r="L15" s="33">
        <f t="shared" si="4"/>
        <v>0</v>
      </c>
      <c r="M15" s="52">
        <v>0</v>
      </c>
      <c r="N15" s="28"/>
      <c r="O15" s="28"/>
      <c r="P15" s="34"/>
      <c r="Q15" s="35"/>
      <c r="R15" s="35"/>
      <c r="S15" s="35"/>
      <c r="T15" s="35"/>
      <c r="U15" s="34"/>
      <c r="V15" s="35"/>
      <c r="W15" s="35"/>
      <c r="X15" s="35"/>
      <c r="Y15" s="35"/>
      <c r="Z15" s="34"/>
      <c r="AA15" s="35"/>
      <c r="AB15" s="35"/>
      <c r="AC15" s="35"/>
      <c r="AD15" s="35"/>
      <c r="AE15" s="34"/>
      <c r="AF15" s="35"/>
      <c r="AG15" s="35"/>
      <c r="AH15" s="35"/>
      <c r="AI15" s="35"/>
      <c r="AJ15" s="34"/>
      <c r="AK15" s="35"/>
      <c r="AL15" s="35"/>
      <c r="AM15" s="35"/>
      <c r="AN15" s="35"/>
      <c r="AO15" s="34"/>
      <c r="AP15" s="35"/>
      <c r="AQ15" s="35"/>
      <c r="AR15" s="35"/>
      <c r="AS15" s="35"/>
      <c r="AT15" s="34"/>
      <c r="AU15" s="35"/>
      <c r="AV15" s="35"/>
      <c r="AW15" s="35"/>
      <c r="AX15" s="35"/>
      <c r="AY15" s="34"/>
      <c r="AZ15" s="35"/>
      <c r="BA15" s="35"/>
      <c r="BB15" s="35"/>
      <c r="BC15" s="35"/>
      <c r="BD15" s="34"/>
      <c r="BE15" s="35"/>
      <c r="BF15" s="35"/>
      <c r="BG15" s="35"/>
      <c r="BH15" s="35"/>
      <c r="BI15" s="34"/>
      <c r="BJ15" s="35"/>
      <c r="BK15" s="35"/>
      <c r="BL15" s="35"/>
      <c r="BM15" s="35"/>
      <c r="BN15" s="34"/>
      <c r="BO15" s="35"/>
      <c r="BP15" s="35"/>
      <c r="BQ15" s="35"/>
      <c r="BR15" s="35"/>
      <c r="BS15" s="34"/>
      <c r="BT15" s="35"/>
      <c r="BU15" s="35"/>
      <c r="BV15" s="35"/>
      <c r="BW15" s="35"/>
      <c r="BX15" s="34"/>
      <c r="BY15" s="35"/>
      <c r="BZ15" s="35"/>
      <c r="CA15" s="35"/>
      <c r="CB15" s="35"/>
    </row>
    <row r="16" spans="1:80" ht="18" customHeight="1" x14ac:dyDescent="0.25">
      <c r="A16" s="119" t="s">
        <v>46</v>
      </c>
      <c r="B16" s="104"/>
      <c r="C16" s="104"/>
      <c r="D16" s="104"/>
      <c r="E16" s="37">
        <f t="shared" ref="E16:J16" si="5">SUM(E10:E15)</f>
        <v>0</v>
      </c>
      <c r="F16" s="38">
        <f t="shared" si="5"/>
        <v>0</v>
      </c>
      <c r="G16" s="39">
        <f t="shared" si="5"/>
        <v>0</v>
      </c>
      <c r="H16" s="39">
        <f t="shared" si="5"/>
        <v>0</v>
      </c>
      <c r="I16" s="40">
        <f t="shared" si="5"/>
        <v>0</v>
      </c>
      <c r="J16" s="41">
        <f t="shared" si="5"/>
        <v>0</v>
      </c>
      <c r="K16" s="42"/>
      <c r="L16" s="41">
        <f>SUM(L10:L15)</f>
        <v>0</v>
      </c>
      <c r="M16" s="42"/>
      <c r="N16" s="63">
        <v>0.1</v>
      </c>
      <c r="O16" s="43" t="str">
        <f t="array" ref="O16">IFERROR(J16/I5\,"")</f>
        <v/>
      </c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</row>
    <row r="17" spans="1:80" ht="3.75" customHeight="1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</row>
    <row r="18" spans="1:80" ht="21.75" customHeight="1" x14ac:dyDescent="0.25">
      <c r="A18" s="124" t="s">
        <v>47</v>
      </c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  <c r="BY18" s="104"/>
      <c r="BZ18" s="104"/>
      <c r="CA18" s="104"/>
      <c r="CB18" s="104"/>
    </row>
    <row r="19" spans="1:80" ht="18.75" customHeight="1" x14ac:dyDescent="0.25">
      <c r="A19" s="21" t="s">
        <v>48</v>
      </c>
      <c r="B19" s="22" t="s">
        <v>49</v>
      </c>
      <c r="C19" s="23"/>
      <c r="D19" s="23"/>
      <c r="E19" s="24"/>
      <c r="F19" s="36"/>
      <c r="G19" s="44"/>
      <c r="H19" s="69"/>
      <c r="I19" s="25"/>
      <c r="J19" s="26">
        <f>IFERROR(SUM(E19:I19),"")</f>
        <v>0</v>
      </c>
      <c r="K19" s="27">
        <v>1.1499999999999999</v>
      </c>
      <c r="L19" s="26">
        <f>IFERROR(J19*K19,"")</f>
        <v>0</v>
      </c>
      <c r="M19" s="52">
        <v>0</v>
      </c>
      <c r="N19" s="28"/>
      <c r="O19" s="28"/>
      <c r="P19" s="29"/>
      <c r="Q19" s="30"/>
      <c r="R19" s="30"/>
      <c r="S19" s="30"/>
      <c r="T19" s="30"/>
      <c r="U19" s="29"/>
      <c r="V19" s="30"/>
      <c r="W19" s="30"/>
      <c r="X19" s="30"/>
      <c r="Y19" s="30"/>
      <c r="Z19" s="29"/>
      <c r="AA19" s="30"/>
      <c r="AB19" s="30"/>
      <c r="AC19" s="30"/>
      <c r="AD19" s="30"/>
      <c r="AE19" s="29"/>
      <c r="AF19" s="30"/>
      <c r="AG19" s="30"/>
      <c r="AH19" s="30"/>
      <c r="AI19" s="30"/>
      <c r="AJ19" s="29"/>
      <c r="AK19" s="30"/>
      <c r="AL19" s="30"/>
      <c r="AM19" s="30"/>
      <c r="AN19" s="30"/>
      <c r="AO19" s="29"/>
      <c r="AP19" s="30"/>
      <c r="AQ19" s="30"/>
      <c r="AR19" s="30"/>
      <c r="AS19" s="30"/>
      <c r="AT19" s="29"/>
      <c r="AU19" s="30"/>
      <c r="AV19" s="30"/>
      <c r="AW19" s="30"/>
      <c r="AX19" s="30"/>
      <c r="AY19" s="29"/>
      <c r="AZ19" s="30"/>
      <c r="BA19" s="30"/>
      <c r="BB19" s="30"/>
      <c r="BC19" s="30"/>
      <c r="BD19" s="29"/>
      <c r="BE19" s="30"/>
      <c r="BF19" s="30"/>
      <c r="BG19" s="30"/>
      <c r="BH19" s="30"/>
      <c r="BI19" s="29"/>
      <c r="BJ19" s="30"/>
      <c r="BK19" s="30"/>
      <c r="BL19" s="30"/>
      <c r="BM19" s="30"/>
      <c r="BN19" s="29"/>
      <c r="BO19" s="30"/>
      <c r="BP19" s="30"/>
      <c r="BQ19" s="30"/>
      <c r="BR19" s="30"/>
      <c r="BS19" s="29"/>
      <c r="BT19" s="30"/>
      <c r="BU19" s="30"/>
      <c r="BV19" s="30"/>
      <c r="BW19" s="30"/>
      <c r="BX19" s="29"/>
      <c r="BY19" s="30"/>
      <c r="BZ19" s="30"/>
      <c r="CA19" s="30"/>
      <c r="CB19" s="30"/>
    </row>
    <row r="20" spans="1:80" ht="18.75" customHeight="1" x14ac:dyDescent="0.25">
      <c r="A20" s="31" t="s">
        <v>50</v>
      </c>
      <c r="B20" s="32" t="s">
        <v>51</v>
      </c>
      <c r="C20" s="23"/>
      <c r="D20" s="23"/>
      <c r="E20" s="25"/>
      <c r="F20" s="25"/>
      <c r="G20" s="44"/>
      <c r="H20" s="69"/>
      <c r="I20" s="25"/>
      <c r="J20" s="33">
        <f>IFERROR(SUM(E20:I20),"")</f>
        <v>0</v>
      </c>
      <c r="K20" s="27">
        <v>1.1499999999999999</v>
      </c>
      <c r="L20" s="33">
        <f>IFERROR(J20*K20,"")</f>
        <v>0</v>
      </c>
      <c r="M20" s="52">
        <v>0</v>
      </c>
      <c r="N20" s="28"/>
      <c r="O20" s="28"/>
      <c r="P20" s="34"/>
      <c r="Q20" s="35"/>
      <c r="R20" s="35"/>
      <c r="S20" s="35"/>
      <c r="T20" s="35"/>
      <c r="U20" s="34"/>
      <c r="V20" s="35"/>
      <c r="W20" s="35"/>
      <c r="X20" s="35"/>
      <c r="Y20" s="35"/>
      <c r="Z20" s="34"/>
      <c r="AA20" s="35"/>
      <c r="AB20" s="35"/>
      <c r="AC20" s="35"/>
      <c r="AD20" s="35"/>
      <c r="AE20" s="34"/>
      <c r="AF20" s="35"/>
      <c r="AG20" s="35"/>
      <c r="AH20" s="35"/>
      <c r="AI20" s="35"/>
      <c r="AJ20" s="34"/>
      <c r="AK20" s="35"/>
      <c r="AL20" s="35"/>
      <c r="AM20" s="35"/>
      <c r="AN20" s="35"/>
      <c r="AO20" s="34"/>
      <c r="AP20" s="35"/>
      <c r="AQ20" s="35"/>
      <c r="AR20" s="35"/>
      <c r="AS20" s="35"/>
      <c r="AT20" s="34"/>
      <c r="AU20" s="35"/>
      <c r="AV20" s="35"/>
      <c r="AW20" s="35"/>
      <c r="AX20" s="35"/>
      <c r="AY20" s="34"/>
      <c r="AZ20" s="35"/>
      <c r="BA20" s="35"/>
      <c r="BB20" s="35"/>
      <c r="BC20" s="35"/>
      <c r="BD20" s="34"/>
      <c r="BE20" s="35"/>
      <c r="BF20" s="35"/>
      <c r="BG20" s="35"/>
      <c r="BH20" s="35"/>
      <c r="BI20" s="34"/>
      <c r="BJ20" s="35"/>
      <c r="BK20" s="35"/>
      <c r="BL20" s="35"/>
      <c r="BM20" s="35"/>
      <c r="BN20" s="34"/>
      <c r="BO20" s="35"/>
      <c r="BP20" s="35"/>
      <c r="BQ20" s="35"/>
      <c r="BR20" s="35"/>
      <c r="BS20" s="34"/>
      <c r="BT20" s="35"/>
      <c r="BU20" s="35"/>
      <c r="BV20" s="35"/>
      <c r="BW20" s="35"/>
      <c r="BX20" s="34"/>
      <c r="BY20" s="35"/>
      <c r="BZ20" s="35"/>
      <c r="CA20" s="35"/>
      <c r="CB20" s="35"/>
    </row>
    <row r="21" spans="1:80" ht="18.75" customHeight="1" x14ac:dyDescent="0.25">
      <c r="A21" s="75" t="s">
        <v>52</v>
      </c>
      <c r="B21" s="65" t="s">
        <v>53</v>
      </c>
      <c r="C21" s="23"/>
      <c r="D21" s="23"/>
      <c r="E21" s="25"/>
      <c r="F21" s="71"/>
      <c r="G21" s="44"/>
      <c r="H21" s="25"/>
      <c r="I21" s="74"/>
      <c r="J21" s="33">
        <f>IFERROR(SUM(E21:I21),"")</f>
        <v>0</v>
      </c>
      <c r="K21" s="27">
        <v>1.1499999999999999</v>
      </c>
      <c r="L21" s="33">
        <f>IFERROR(J21*K21,"")</f>
        <v>0</v>
      </c>
      <c r="M21" s="52">
        <v>0</v>
      </c>
      <c r="N21" s="28"/>
      <c r="O21" s="28"/>
      <c r="P21" s="34"/>
      <c r="Q21" s="35"/>
      <c r="R21" s="35"/>
      <c r="S21" s="35"/>
      <c r="T21" s="35"/>
      <c r="U21" s="34"/>
      <c r="V21" s="35"/>
      <c r="W21" s="35"/>
      <c r="X21" s="35"/>
      <c r="Y21" s="35"/>
      <c r="Z21" s="34"/>
      <c r="AA21" s="35"/>
      <c r="AB21" s="35"/>
      <c r="AC21" s="35"/>
      <c r="AD21" s="35"/>
      <c r="AE21" s="34"/>
      <c r="AF21" s="35"/>
      <c r="AG21" s="35"/>
      <c r="AH21" s="35"/>
      <c r="AI21" s="35"/>
      <c r="AJ21" s="34"/>
      <c r="AK21" s="35"/>
      <c r="AL21" s="35"/>
      <c r="AM21" s="35"/>
      <c r="AN21" s="35"/>
      <c r="AO21" s="34"/>
      <c r="AP21" s="35"/>
      <c r="AQ21" s="35"/>
      <c r="AR21" s="35"/>
      <c r="AS21" s="35"/>
      <c r="AT21" s="34"/>
      <c r="AU21" s="35"/>
      <c r="AV21" s="35"/>
      <c r="AW21" s="35"/>
      <c r="AX21" s="35"/>
      <c r="AY21" s="34"/>
      <c r="AZ21" s="35"/>
      <c r="BA21" s="35"/>
      <c r="BB21" s="35"/>
      <c r="BC21" s="35"/>
      <c r="BD21" s="34"/>
      <c r="BE21" s="35"/>
      <c r="BF21" s="35"/>
      <c r="BG21" s="35"/>
      <c r="BH21" s="35"/>
      <c r="BI21" s="34"/>
      <c r="BJ21" s="35"/>
      <c r="BK21" s="35"/>
      <c r="BL21" s="35"/>
      <c r="BM21" s="35"/>
      <c r="BN21" s="34"/>
      <c r="BO21" s="35"/>
      <c r="BP21" s="35"/>
      <c r="BQ21" s="35"/>
      <c r="BR21" s="35"/>
      <c r="BS21" s="34"/>
      <c r="BT21" s="35"/>
      <c r="BU21" s="35"/>
      <c r="BV21" s="35"/>
      <c r="BW21" s="35"/>
      <c r="BX21" s="34"/>
      <c r="BY21" s="35"/>
      <c r="BZ21" s="35"/>
      <c r="CA21" s="35"/>
      <c r="CB21" s="35"/>
    </row>
    <row r="22" spans="1:80" ht="18.75" customHeight="1" x14ac:dyDescent="0.25">
      <c r="A22" s="31" t="s">
        <v>54</v>
      </c>
      <c r="B22" s="32" t="s">
        <v>55</v>
      </c>
      <c r="C22" s="23"/>
      <c r="D22" s="23"/>
      <c r="E22" s="72"/>
      <c r="F22" s="25"/>
      <c r="G22" s="25"/>
      <c r="H22" s="68"/>
      <c r="I22" s="25"/>
      <c r="J22" s="33">
        <f>IFERROR(SUM(E22:I22),"")</f>
        <v>0</v>
      </c>
      <c r="K22" s="27">
        <v>1.1499999999999999</v>
      </c>
      <c r="L22" s="33">
        <f>IFERROR(J22*K22,"")</f>
        <v>0</v>
      </c>
      <c r="M22" s="52">
        <v>0</v>
      </c>
      <c r="N22" s="28"/>
      <c r="O22" s="28"/>
      <c r="P22" s="34"/>
      <c r="Q22" s="35"/>
      <c r="R22" s="35"/>
      <c r="S22" s="35"/>
      <c r="T22" s="35"/>
      <c r="U22" s="34"/>
      <c r="V22" s="35"/>
      <c r="W22" s="35"/>
      <c r="X22" s="35"/>
      <c r="Y22" s="35"/>
      <c r="Z22" s="34"/>
      <c r="AA22" s="35"/>
      <c r="AB22" s="35"/>
      <c r="AC22" s="35"/>
      <c r="AD22" s="35"/>
      <c r="AE22" s="34"/>
      <c r="AF22" s="35"/>
      <c r="AG22" s="35"/>
      <c r="AH22" s="35"/>
      <c r="AI22" s="35"/>
      <c r="AJ22" s="34"/>
      <c r="AK22" s="35"/>
      <c r="AL22" s="35"/>
      <c r="AM22" s="35"/>
      <c r="AN22" s="35"/>
      <c r="AO22" s="34"/>
      <c r="AP22" s="35"/>
      <c r="AQ22" s="35"/>
      <c r="AR22" s="35"/>
      <c r="AS22" s="35"/>
      <c r="AT22" s="34"/>
      <c r="AU22" s="35"/>
      <c r="AV22" s="35"/>
      <c r="AW22" s="35"/>
      <c r="AX22" s="35"/>
      <c r="AY22" s="34"/>
      <c r="AZ22" s="35"/>
      <c r="BA22" s="35"/>
      <c r="BB22" s="35"/>
      <c r="BC22" s="35"/>
      <c r="BD22" s="34"/>
      <c r="BE22" s="35"/>
      <c r="BF22" s="35"/>
      <c r="BG22" s="35"/>
      <c r="BH22" s="35"/>
      <c r="BI22" s="34"/>
      <c r="BJ22" s="35"/>
      <c r="BK22" s="35"/>
      <c r="BL22" s="35"/>
      <c r="BM22" s="35"/>
      <c r="BN22" s="34"/>
      <c r="BO22" s="35"/>
      <c r="BP22" s="35"/>
      <c r="BQ22" s="35"/>
      <c r="BR22" s="35"/>
      <c r="BS22" s="34"/>
      <c r="BT22" s="35"/>
      <c r="BU22" s="35"/>
      <c r="BV22" s="35"/>
      <c r="BW22" s="35"/>
      <c r="BX22" s="34"/>
      <c r="BY22" s="35"/>
      <c r="BZ22" s="35"/>
      <c r="CA22" s="35"/>
      <c r="CB22" s="35"/>
    </row>
    <row r="23" spans="1:80" ht="18" customHeight="1" x14ac:dyDescent="0.25">
      <c r="A23" s="119" t="s">
        <v>56</v>
      </c>
      <c r="B23" s="104"/>
      <c r="C23" s="104"/>
      <c r="D23" s="104"/>
      <c r="E23" s="37">
        <f t="shared" ref="E23:J23" si="6">SUM(E19:E22)</f>
        <v>0</v>
      </c>
      <c r="F23" s="38">
        <f t="shared" si="6"/>
        <v>0</v>
      </c>
      <c r="G23" s="39">
        <f t="shared" si="6"/>
        <v>0</v>
      </c>
      <c r="H23" s="39">
        <f t="shared" si="6"/>
        <v>0</v>
      </c>
      <c r="I23" s="40">
        <f t="shared" si="6"/>
        <v>0</v>
      </c>
      <c r="J23" s="41">
        <f t="shared" si="6"/>
        <v>0</v>
      </c>
      <c r="K23" s="42"/>
      <c r="L23" s="41">
        <f>SUM(L19:L22)</f>
        <v>0</v>
      </c>
      <c r="M23" s="42"/>
      <c r="N23" s="63">
        <v>0.15</v>
      </c>
      <c r="O23" s="43" t="str">
        <f>IFERROR(J23/J5,"")</f>
        <v/>
      </c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</row>
    <row r="24" spans="1:80" ht="3.75" customHeight="1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</row>
    <row r="25" spans="1:80" ht="21.75" customHeight="1" x14ac:dyDescent="0.25">
      <c r="A25" s="122" t="s">
        <v>57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4"/>
      <c r="CB25" s="104"/>
    </row>
    <row r="26" spans="1:80" ht="18.75" customHeight="1" x14ac:dyDescent="0.25">
      <c r="A26" s="21" t="s">
        <v>58</v>
      </c>
      <c r="B26" s="22" t="s">
        <v>59</v>
      </c>
      <c r="C26" s="23"/>
      <c r="D26" s="23"/>
      <c r="E26" s="25"/>
      <c r="F26" s="71"/>
      <c r="G26" s="44"/>
      <c r="H26" s="25"/>
      <c r="I26" s="25"/>
      <c r="J26" s="26">
        <f>IFERROR(SUM(E26:I26),"")</f>
        <v>0</v>
      </c>
      <c r="K26" s="27">
        <v>1.1499999999999999</v>
      </c>
      <c r="L26" s="26">
        <f>IFERROR(J26*K26,"")</f>
        <v>0</v>
      </c>
      <c r="M26" s="52">
        <v>0</v>
      </c>
      <c r="N26" s="28"/>
      <c r="O26" s="28"/>
      <c r="P26" s="29"/>
      <c r="Q26" s="30"/>
      <c r="R26" s="30"/>
      <c r="S26" s="30"/>
      <c r="T26" s="30"/>
      <c r="U26" s="29"/>
      <c r="V26" s="30"/>
      <c r="W26" s="30"/>
      <c r="X26" s="30"/>
      <c r="Y26" s="30"/>
      <c r="Z26" s="29"/>
      <c r="AA26" s="30"/>
      <c r="AB26" s="30"/>
      <c r="AC26" s="30"/>
      <c r="AD26" s="30"/>
      <c r="AE26" s="29"/>
      <c r="AF26" s="30"/>
      <c r="AG26" s="30"/>
      <c r="AH26" s="30"/>
      <c r="AI26" s="30"/>
      <c r="AJ26" s="29"/>
      <c r="AK26" s="30"/>
      <c r="AL26" s="30"/>
      <c r="AM26" s="30"/>
      <c r="AN26" s="30"/>
      <c r="AO26" s="29"/>
      <c r="AP26" s="30"/>
      <c r="AQ26" s="30"/>
      <c r="AR26" s="30"/>
      <c r="AS26" s="30"/>
      <c r="AT26" s="29"/>
      <c r="AU26" s="30"/>
      <c r="AV26" s="30"/>
      <c r="AW26" s="30"/>
      <c r="AX26" s="30"/>
      <c r="AY26" s="29"/>
      <c r="AZ26" s="30"/>
      <c r="BA26" s="30"/>
      <c r="BB26" s="30"/>
      <c r="BC26" s="30"/>
      <c r="BD26" s="29"/>
      <c r="BE26" s="30"/>
      <c r="BF26" s="30"/>
      <c r="BG26" s="30"/>
      <c r="BH26" s="30"/>
      <c r="BI26" s="29"/>
      <c r="BJ26" s="30"/>
      <c r="BK26" s="30"/>
      <c r="BL26" s="30"/>
      <c r="BM26" s="30"/>
      <c r="BN26" s="29"/>
      <c r="BO26" s="30"/>
      <c r="BP26" s="30"/>
      <c r="BQ26" s="30"/>
      <c r="BR26" s="30"/>
      <c r="BS26" s="29"/>
      <c r="BT26" s="30"/>
      <c r="BU26" s="30"/>
      <c r="BV26" s="30"/>
      <c r="BW26" s="30"/>
      <c r="BX26" s="29"/>
      <c r="BY26" s="30"/>
      <c r="BZ26" s="30"/>
      <c r="CA26" s="30"/>
      <c r="CB26" s="30"/>
    </row>
    <row r="27" spans="1:80" ht="18.75" customHeight="1" x14ac:dyDescent="0.25">
      <c r="A27" s="31" t="s">
        <v>60</v>
      </c>
      <c r="B27" s="32" t="s">
        <v>61</v>
      </c>
      <c r="C27" s="23"/>
      <c r="D27" s="23"/>
      <c r="E27" s="25"/>
      <c r="F27" s="25"/>
      <c r="G27" s="44"/>
      <c r="H27" s="68"/>
      <c r="I27" s="73"/>
      <c r="J27" s="33">
        <f>IFERROR(SUM(E27:I27),"")</f>
        <v>0</v>
      </c>
      <c r="K27" s="27">
        <v>1.1499999999999999</v>
      </c>
      <c r="L27" s="33">
        <f>IFERROR(J27*K27,"")</f>
        <v>0</v>
      </c>
      <c r="M27" s="52">
        <v>0</v>
      </c>
      <c r="N27" s="28"/>
      <c r="O27" s="28"/>
      <c r="P27" s="34"/>
      <c r="Q27" s="35"/>
      <c r="R27" s="35"/>
      <c r="S27" s="35"/>
      <c r="T27" s="35"/>
      <c r="U27" s="34"/>
      <c r="V27" s="35"/>
      <c r="W27" s="35"/>
      <c r="X27" s="35"/>
      <c r="Y27" s="35"/>
      <c r="Z27" s="34"/>
      <c r="AA27" s="35"/>
      <c r="AB27" s="35"/>
      <c r="AC27" s="35"/>
      <c r="AD27" s="35"/>
      <c r="AE27" s="34"/>
      <c r="AF27" s="35"/>
      <c r="AG27" s="35"/>
      <c r="AH27" s="35"/>
      <c r="AI27" s="35"/>
      <c r="AJ27" s="34"/>
      <c r="AK27" s="35"/>
      <c r="AL27" s="35"/>
      <c r="AM27" s="35"/>
      <c r="AN27" s="35"/>
      <c r="AO27" s="34"/>
      <c r="AP27" s="35"/>
      <c r="AQ27" s="35"/>
      <c r="AR27" s="35"/>
      <c r="AS27" s="35"/>
      <c r="AT27" s="34"/>
      <c r="AU27" s="35"/>
      <c r="AV27" s="35"/>
      <c r="AW27" s="35"/>
      <c r="AX27" s="35"/>
      <c r="AY27" s="34"/>
      <c r="AZ27" s="35"/>
      <c r="BA27" s="35"/>
      <c r="BB27" s="35"/>
      <c r="BC27" s="35"/>
      <c r="BD27" s="34"/>
      <c r="BE27" s="35"/>
      <c r="BF27" s="35"/>
      <c r="BG27" s="35"/>
      <c r="BH27" s="35"/>
      <c r="BI27" s="34"/>
      <c r="BJ27" s="35"/>
      <c r="BK27" s="35"/>
      <c r="BL27" s="35"/>
      <c r="BM27" s="35"/>
      <c r="BN27" s="34"/>
      <c r="BO27" s="35"/>
      <c r="BP27" s="35"/>
      <c r="BQ27" s="35"/>
      <c r="BR27" s="35"/>
      <c r="BS27" s="34"/>
      <c r="BT27" s="35"/>
      <c r="BU27" s="35"/>
      <c r="BV27" s="35"/>
      <c r="BW27" s="35"/>
      <c r="BX27" s="34"/>
      <c r="BY27" s="35"/>
      <c r="BZ27" s="35"/>
      <c r="CA27" s="35"/>
      <c r="CB27" s="35"/>
    </row>
    <row r="28" spans="1:80" ht="18.75" customHeight="1" x14ac:dyDescent="0.25">
      <c r="A28" s="21" t="s">
        <v>62</v>
      </c>
      <c r="B28" s="22" t="s">
        <v>63</v>
      </c>
      <c r="C28" s="23"/>
      <c r="D28" s="23"/>
      <c r="E28" s="25"/>
      <c r="F28" s="36"/>
      <c r="G28" s="70"/>
      <c r="H28" s="25"/>
      <c r="I28" s="74"/>
      <c r="J28" s="26">
        <f>IFERROR(SUM(E28:I28),"")</f>
        <v>0</v>
      </c>
      <c r="K28" s="27">
        <v>1.1499999999999999</v>
      </c>
      <c r="L28" s="26">
        <f>IFERROR(J28*K28,"")</f>
        <v>0</v>
      </c>
      <c r="M28" s="52">
        <v>0</v>
      </c>
      <c r="N28" s="28"/>
      <c r="O28" s="28"/>
      <c r="P28" s="29"/>
      <c r="Q28" s="30"/>
      <c r="R28" s="30"/>
      <c r="S28" s="30"/>
      <c r="T28" s="30"/>
      <c r="U28" s="29"/>
      <c r="V28" s="30"/>
      <c r="W28" s="30"/>
      <c r="X28" s="30"/>
      <c r="Y28" s="30"/>
      <c r="Z28" s="29"/>
      <c r="AA28" s="30"/>
      <c r="AB28" s="30"/>
      <c r="AC28" s="30"/>
      <c r="AD28" s="30"/>
      <c r="AE28" s="29"/>
      <c r="AF28" s="30"/>
      <c r="AG28" s="30"/>
      <c r="AH28" s="30"/>
      <c r="AI28" s="30"/>
      <c r="AJ28" s="29"/>
      <c r="AK28" s="30"/>
      <c r="AL28" s="30"/>
      <c r="AM28" s="30"/>
      <c r="AN28" s="30"/>
      <c r="AO28" s="29"/>
      <c r="AP28" s="30"/>
      <c r="AQ28" s="30"/>
      <c r="AR28" s="30"/>
      <c r="AS28" s="30"/>
      <c r="AT28" s="29"/>
      <c r="AU28" s="30"/>
      <c r="AV28" s="30"/>
      <c r="AW28" s="30"/>
      <c r="AX28" s="30"/>
      <c r="AY28" s="29"/>
      <c r="AZ28" s="30"/>
      <c r="BA28" s="30"/>
      <c r="BB28" s="30"/>
      <c r="BC28" s="30"/>
      <c r="BD28" s="29"/>
      <c r="BE28" s="30"/>
      <c r="BF28" s="30"/>
      <c r="BG28" s="30"/>
      <c r="BH28" s="30"/>
      <c r="BI28" s="29"/>
      <c r="BJ28" s="30"/>
      <c r="BK28" s="30"/>
      <c r="BL28" s="30"/>
      <c r="BM28" s="30"/>
      <c r="BN28" s="29"/>
      <c r="BO28" s="30"/>
      <c r="BP28" s="30"/>
      <c r="BQ28" s="30"/>
      <c r="BR28" s="30"/>
      <c r="BS28" s="29"/>
      <c r="BT28" s="30"/>
      <c r="BU28" s="30"/>
      <c r="BV28" s="30"/>
      <c r="BW28" s="30"/>
      <c r="BX28" s="29"/>
      <c r="BY28" s="30"/>
      <c r="BZ28" s="30"/>
      <c r="CA28" s="30"/>
      <c r="CB28" s="30"/>
    </row>
    <row r="29" spans="1:80" ht="18.75" customHeight="1" x14ac:dyDescent="0.25">
      <c r="A29" s="76" t="s">
        <v>64</v>
      </c>
      <c r="B29" s="64" t="s">
        <v>65</v>
      </c>
      <c r="C29" s="23"/>
      <c r="D29" s="23"/>
      <c r="E29" s="25"/>
      <c r="F29" s="36"/>
      <c r="G29" s="70"/>
      <c r="H29" s="25"/>
      <c r="I29" s="25"/>
      <c r="J29" s="26">
        <f>IFERROR(SUM(E29:I29),"")</f>
        <v>0</v>
      </c>
      <c r="K29" s="27">
        <v>1.1499999999999999</v>
      </c>
      <c r="L29" s="26">
        <f>IFERROR(J29*K29,"")</f>
        <v>0</v>
      </c>
      <c r="M29" s="52">
        <v>0</v>
      </c>
      <c r="N29" s="28"/>
      <c r="O29" s="28"/>
      <c r="P29" s="29"/>
      <c r="Q29" s="30"/>
      <c r="R29" s="30"/>
      <c r="S29" s="30"/>
      <c r="T29" s="30"/>
      <c r="U29" s="29"/>
      <c r="V29" s="30"/>
      <c r="W29" s="30"/>
      <c r="X29" s="30"/>
      <c r="Y29" s="30"/>
      <c r="Z29" s="29"/>
      <c r="AA29" s="30"/>
      <c r="AB29" s="30"/>
      <c r="AC29" s="30"/>
      <c r="AD29" s="30"/>
      <c r="AE29" s="29"/>
      <c r="AF29" s="30"/>
      <c r="AG29" s="30"/>
      <c r="AH29" s="30"/>
      <c r="AI29" s="30"/>
      <c r="AJ29" s="29"/>
      <c r="AK29" s="30"/>
      <c r="AL29" s="30"/>
      <c r="AM29" s="30"/>
      <c r="AN29" s="30"/>
      <c r="AO29" s="29"/>
      <c r="AP29" s="30"/>
      <c r="AQ29" s="30"/>
      <c r="AR29" s="30"/>
      <c r="AS29" s="30"/>
      <c r="AT29" s="29"/>
      <c r="AU29" s="30"/>
      <c r="AV29" s="30"/>
      <c r="AW29" s="30"/>
      <c r="AX29" s="30"/>
      <c r="AY29" s="29"/>
      <c r="AZ29" s="30"/>
      <c r="BA29" s="30"/>
      <c r="BB29" s="30"/>
      <c r="BC29" s="30"/>
      <c r="BD29" s="29"/>
      <c r="BE29" s="30"/>
      <c r="BF29" s="30"/>
      <c r="BG29" s="30"/>
      <c r="BH29" s="30"/>
      <c r="BI29" s="29"/>
      <c r="BJ29" s="30"/>
      <c r="BK29" s="30"/>
      <c r="BL29" s="30"/>
      <c r="BM29" s="30"/>
      <c r="BN29" s="29"/>
      <c r="BO29" s="30"/>
      <c r="BP29" s="30"/>
      <c r="BQ29" s="30"/>
      <c r="BR29" s="30"/>
      <c r="BS29" s="29"/>
      <c r="BT29" s="30"/>
      <c r="BU29" s="30"/>
      <c r="BV29" s="30"/>
      <c r="BW29" s="30"/>
      <c r="BX29" s="29"/>
      <c r="BY29" s="30"/>
      <c r="BZ29" s="30"/>
      <c r="CA29" s="30"/>
      <c r="CB29" s="30"/>
    </row>
    <row r="30" spans="1:80" ht="18" customHeight="1" x14ac:dyDescent="0.25">
      <c r="A30" s="119" t="s">
        <v>66</v>
      </c>
      <c r="B30" s="104"/>
      <c r="C30" s="104"/>
      <c r="D30" s="104"/>
      <c r="E30" s="37">
        <f t="shared" ref="E30:J30" si="7">SUM(E26:E29)</f>
        <v>0</v>
      </c>
      <c r="F30" s="38">
        <f t="shared" si="7"/>
        <v>0</v>
      </c>
      <c r="G30" s="39">
        <f t="shared" si="7"/>
        <v>0</v>
      </c>
      <c r="H30" s="39">
        <f t="shared" si="7"/>
        <v>0</v>
      </c>
      <c r="I30" s="40">
        <f t="shared" si="7"/>
        <v>0</v>
      </c>
      <c r="J30" s="41">
        <f t="shared" si="7"/>
        <v>0</v>
      </c>
      <c r="K30" s="42"/>
      <c r="L30" s="41">
        <f>SUM(L26:L29)</f>
        <v>0</v>
      </c>
      <c r="M30" s="42"/>
      <c r="N30" s="63">
        <v>0.15</v>
      </c>
      <c r="O30" s="43" t="str">
        <f>IFERROR(J30/J5,"")</f>
        <v/>
      </c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</row>
    <row r="31" spans="1:80" ht="3.75" customHeight="1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</row>
    <row r="32" spans="1:80" ht="21.75" customHeight="1" x14ac:dyDescent="0.25">
      <c r="A32" s="130" t="s">
        <v>67</v>
      </c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</row>
    <row r="33" spans="1:80" ht="18.75" customHeight="1" x14ac:dyDescent="0.25">
      <c r="A33" s="21" t="s">
        <v>68</v>
      </c>
      <c r="B33" s="22" t="s">
        <v>69</v>
      </c>
      <c r="C33" s="23"/>
      <c r="D33" s="23"/>
      <c r="E33" s="25"/>
      <c r="F33" s="25"/>
      <c r="G33" s="44"/>
      <c r="H33" s="25"/>
      <c r="I33" s="73"/>
      <c r="J33" s="26">
        <f t="shared" ref="J33:J40" si="8">IFERROR(SUM(E33:I33),"")</f>
        <v>0</v>
      </c>
      <c r="K33" s="27">
        <v>1.1499999999999999</v>
      </c>
      <c r="L33" s="26">
        <f t="shared" ref="L33:L40" si="9">IFERROR(J33*K33,"")</f>
        <v>0</v>
      </c>
      <c r="M33" s="52">
        <v>0</v>
      </c>
      <c r="N33" s="28"/>
      <c r="O33" s="28"/>
      <c r="P33" s="29"/>
      <c r="Q33" s="30"/>
      <c r="R33" s="30"/>
      <c r="S33" s="30"/>
      <c r="T33" s="30"/>
      <c r="U33" s="29"/>
      <c r="V33" s="30"/>
      <c r="W33" s="30"/>
      <c r="X33" s="30"/>
      <c r="Y33" s="30"/>
      <c r="Z33" s="29"/>
      <c r="AA33" s="30"/>
      <c r="AB33" s="30"/>
      <c r="AC33" s="30"/>
      <c r="AD33" s="30"/>
      <c r="AE33" s="29"/>
      <c r="AF33" s="30"/>
      <c r="AG33" s="30"/>
      <c r="AH33" s="30"/>
      <c r="AI33" s="30"/>
      <c r="AJ33" s="29"/>
      <c r="AK33" s="30"/>
      <c r="AL33" s="30"/>
      <c r="AM33" s="30"/>
      <c r="AN33" s="30"/>
      <c r="AO33" s="29"/>
      <c r="AP33" s="30"/>
      <c r="AQ33" s="30"/>
      <c r="AR33" s="30"/>
      <c r="AS33" s="30"/>
      <c r="AT33" s="29"/>
      <c r="AU33" s="30"/>
      <c r="AV33" s="30"/>
      <c r="AW33" s="30"/>
      <c r="AX33" s="30"/>
      <c r="AY33" s="29"/>
      <c r="AZ33" s="30"/>
      <c r="BA33" s="30"/>
      <c r="BB33" s="30"/>
      <c r="BC33" s="30"/>
      <c r="BD33" s="29"/>
      <c r="BE33" s="30"/>
      <c r="BF33" s="30"/>
      <c r="BG33" s="30"/>
      <c r="BH33" s="30"/>
      <c r="BI33" s="29"/>
      <c r="BJ33" s="30"/>
      <c r="BK33" s="30"/>
      <c r="BL33" s="30"/>
      <c r="BM33" s="30"/>
      <c r="BN33" s="29"/>
      <c r="BO33" s="30"/>
      <c r="BP33" s="30"/>
      <c r="BQ33" s="30"/>
      <c r="BR33" s="30"/>
      <c r="BS33" s="29"/>
      <c r="BT33" s="30"/>
      <c r="BU33" s="30"/>
      <c r="BV33" s="30"/>
      <c r="BW33" s="30"/>
      <c r="BX33" s="29"/>
      <c r="BY33" s="30"/>
      <c r="BZ33" s="30"/>
      <c r="CA33" s="30"/>
      <c r="CB33" s="30"/>
    </row>
    <row r="34" spans="1:80" ht="18.75" customHeight="1" x14ac:dyDescent="0.25">
      <c r="A34" s="31" t="s">
        <v>70</v>
      </c>
      <c r="B34" s="32" t="s">
        <v>71</v>
      </c>
      <c r="C34" s="23"/>
      <c r="D34" s="23"/>
      <c r="E34" s="25"/>
      <c r="F34" s="25"/>
      <c r="G34" s="44"/>
      <c r="H34" s="25"/>
      <c r="I34" s="73"/>
      <c r="J34" s="33">
        <f t="shared" si="8"/>
        <v>0</v>
      </c>
      <c r="K34" s="27">
        <v>1.1499999999999999</v>
      </c>
      <c r="L34" s="33">
        <f t="shared" si="9"/>
        <v>0</v>
      </c>
      <c r="M34" s="52">
        <v>0</v>
      </c>
      <c r="N34" s="28"/>
      <c r="O34" s="28"/>
      <c r="P34" s="34"/>
      <c r="Q34" s="35"/>
      <c r="R34" s="35"/>
      <c r="S34" s="35"/>
      <c r="T34" s="35"/>
      <c r="U34" s="34"/>
      <c r="V34" s="35"/>
      <c r="W34" s="35"/>
      <c r="X34" s="35"/>
      <c r="Y34" s="35"/>
      <c r="Z34" s="34"/>
      <c r="AA34" s="35"/>
      <c r="AB34" s="35"/>
      <c r="AC34" s="35"/>
      <c r="AD34" s="35"/>
      <c r="AE34" s="34"/>
      <c r="AF34" s="35"/>
      <c r="AG34" s="35"/>
      <c r="AH34" s="35"/>
      <c r="AI34" s="35"/>
      <c r="AJ34" s="34"/>
      <c r="AK34" s="35"/>
      <c r="AL34" s="35"/>
      <c r="AM34" s="35"/>
      <c r="AN34" s="35"/>
      <c r="AO34" s="34"/>
      <c r="AP34" s="35"/>
      <c r="AQ34" s="35"/>
      <c r="AR34" s="35"/>
      <c r="AS34" s="35"/>
      <c r="AT34" s="34"/>
      <c r="AU34" s="35"/>
      <c r="AV34" s="35"/>
      <c r="AW34" s="35"/>
      <c r="AX34" s="35"/>
      <c r="AY34" s="34"/>
      <c r="AZ34" s="35"/>
      <c r="BA34" s="35"/>
      <c r="BB34" s="35"/>
      <c r="BC34" s="35"/>
      <c r="BD34" s="34"/>
      <c r="BE34" s="35"/>
      <c r="BF34" s="35"/>
      <c r="BG34" s="35"/>
      <c r="BH34" s="35"/>
      <c r="BI34" s="34"/>
      <c r="BJ34" s="35"/>
      <c r="BK34" s="35"/>
      <c r="BL34" s="35"/>
      <c r="BM34" s="35"/>
      <c r="BN34" s="34"/>
      <c r="BO34" s="35"/>
      <c r="BP34" s="35"/>
      <c r="BQ34" s="35"/>
      <c r="BR34" s="35"/>
      <c r="BS34" s="34"/>
      <c r="BT34" s="35"/>
      <c r="BU34" s="35"/>
      <c r="BV34" s="35"/>
      <c r="BW34" s="35"/>
      <c r="BX34" s="34"/>
      <c r="BY34" s="35"/>
      <c r="BZ34" s="35"/>
      <c r="CA34" s="35"/>
      <c r="CB34" s="35"/>
    </row>
    <row r="35" spans="1:80" ht="18.75" customHeight="1" x14ac:dyDescent="0.25">
      <c r="A35" s="21" t="s">
        <v>72</v>
      </c>
      <c r="B35" s="22" t="s">
        <v>73</v>
      </c>
      <c r="C35" s="23"/>
      <c r="D35" s="23"/>
      <c r="E35" s="25"/>
      <c r="F35" s="25"/>
      <c r="G35" s="44"/>
      <c r="H35" s="25"/>
      <c r="I35" s="73"/>
      <c r="J35" s="26">
        <f t="shared" si="8"/>
        <v>0</v>
      </c>
      <c r="K35" s="27">
        <v>1.1499999999999999</v>
      </c>
      <c r="L35" s="26">
        <f t="shared" si="9"/>
        <v>0</v>
      </c>
      <c r="M35" s="52">
        <v>0</v>
      </c>
      <c r="N35" s="28"/>
      <c r="O35" s="28"/>
      <c r="P35" s="29"/>
      <c r="Q35" s="30"/>
      <c r="R35" s="30"/>
      <c r="S35" s="30"/>
      <c r="T35" s="30"/>
      <c r="U35" s="29"/>
      <c r="V35" s="30"/>
      <c r="W35" s="30"/>
      <c r="X35" s="30"/>
      <c r="Y35" s="30"/>
      <c r="Z35" s="29"/>
      <c r="AA35" s="30"/>
      <c r="AB35" s="30"/>
      <c r="AC35" s="30"/>
      <c r="AD35" s="30"/>
      <c r="AE35" s="29"/>
      <c r="AF35" s="30"/>
      <c r="AG35" s="30"/>
      <c r="AH35" s="30"/>
      <c r="AI35" s="30"/>
      <c r="AJ35" s="29"/>
      <c r="AK35" s="30"/>
      <c r="AL35" s="30"/>
      <c r="AM35" s="30"/>
      <c r="AN35" s="30"/>
      <c r="AO35" s="29"/>
      <c r="AP35" s="30"/>
      <c r="AQ35" s="30"/>
      <c r="AR35" s="30"/>
      <c r="AS35" s="30"/>
      <c r="AT35" s="29"/>
      <c r="AU35" s="30"/>
      <c r="AV35" s="30"/>
      <c r="AW35" s="30"/>
      <c r="AX35" s="30"/>
      <c r="AY35" s="29"/>
      <c r="AZ35" s="30"/>
      <c r="BA35" s="30"/>
      <c r="BB35" s="30"/>
      <c r="BC35" s="30"/>
      <c r="BD35" s="29"/>
      <c r="BE35" s="30"/>
      <c r="BF35" s="30"/>
      <c r="BG35" s="30"/>
      <c r="BH35" s="30"/>
      <c r="BI35" s="29"/>
      <c r="BJ35" s="30"/>
      <c r="BK35" s="30"/>
      <c r="BL35" s="30"/>
      <c r="BM35" s="30"/>
      <c r="BN35" s="29"/>
      <c r="BO35" s="30"/>
      <c r="BP35" s="30"/>
      <c r="BQ35" s="30"/>
      <c r="BR35" s="30"/>
      <c r="BS35" s="29"/>
      <c r="BT35" s="30"/>
      <c r="BU35" s="30"/>
      <c r="BV35" s="30"/>
      <c r="BW35" s="30"/>
      <c r="BX35" s="29"/>
      <c r="BY35" s="30"/>
      <c r="BZ35" s="30"/>
      <c r="CA35" s="30"/>
      <c r="CB35" s="30"/>
    </row>
    <row r="36" spans="1:80" ht="18.75" customHeight="1" x14ac:dyDescent="0.25">
      <c r="A36" s="31" t="s">
        <v>74</v>
      </c>
      <c r="B36" s="32" t="s">
        <v>75</v>
      </c>
      <c r="C36" s="23"/>
      <c r="D36" s="23"/>
      <c r="E36" s="25"/>
      <c r="F36" s="25"/>
      <c r="G36" s="25"/>
      <c r="H36" s="25"/>
      <c r="I36" s="73"/>
      <c r="J36" s="33">
        <f t="shared" si="8"/>
        <v>0</v>
      </c>
      <c r="K36" s="27">
        <v>1.1499999999999999</v>
      </c>
      <c r="L36" s="33">
        <f t="shared" si="9"/>
        <v>0</v>
      </c>
      <c r="M36" s="52">
        <v>0</v>
      </c>
      <c r="N36" s="28"/>
      <c r="O36" s="28"/>
      <c r="P36" s="34"/>
      <c r="Q36" s="35"/>
      <c r="R36" s="35"/>
      <c r="S36" s="35"/>
      <c r="T36" s="35"/>
      <c r="U36" s="34"/>
      <c r="V36" s="35"/>
      <c r="W36" s="35"/>
      <c r="X36" s="35"/>
      <c r="Y36" s="35"/>
      <c r="Z36" s="34"/>
      <c r="AA36" s="35"/>
      <c r="AB36" s="35"/>
      <c r="AC36" s="35"/>
      <c r="AD36" s="35"/>
      <c r="AE36" s="34"/>
      <c r="AF36" s="35"/>
      <c r="AG36" s="35"/>
      <c r="AH36" s="35"/>
      <c r="AI36" s="35"/>
      <c r="AJ36" s="34"/>
      <c r="AK36" s="35"/>
      <c r="AL36" s="35"/>
      <c r="AM36" s="35"/>
      <c r="AN36" s="35"/>
      <c r="AO36" s="34"/>
      <c r="AP36" s="35"/>
      <c r="AQ36" s="35"/>
      <c r="AR36" s="35"/>
      <c r="AS36" s="35"/>
      <c r="AT36" s="34"/>
      <c r="AU36" s="35"/>
      <c r="AV36" s="35"/>
      <c r="AW36" s="35"/>
      <c r="AX36" s="35"/>
      <c r="AY36" s="34"/>
      <c r="AZ36" s="35"/>
      <c r="BA36" s="35"/>
      <c r="BB36" s="35"/>
      <c r="BC36" s="35"/>
      <c r="BD36" s="34"/>
      <c r="BE36" s="35"/>
      <c r="BF36" s="35"/>
      <c r="BG36" s="35"/>
      <c r="BH36" s="35"/>
      <c r="BI36" s="34"/>
      <c r="BJ36" s="35"/>
      <c r="BK36" s="35"/>
      <c r="BL36" s="35"/>
      <c r="BM36" s="35"/>
      <c r="BN36" s="34"/>
      <c r="BO36" s="35"/>
      <c r="BP36" s="35"/>
      <c r="BQ36" s="35"/>
      <c r="BR36" s="35"/>
      <c r="BS36" s="34"/>
      <c r="BT36" s="35"/>
      <c r="BU36" s="35"/>
      <c r="BV36" s="35"/>
      <c r="BW36" s="35"/>
      <c r="BX36" s="34"/>
      <c r="BY36" s="35"/>
      <c r="BZ36" s="35"/>
      <c r="CA36" s="35"/>
      <c r="CB36" s="35"/>
    </row>
    <row r="37" spans="1:80" ht="18.75" customHeight="1" x14ac:dyDescent="0.25">
      <c r="A37" s="21" t="s">
        <v>76</v>
      </c>
      <c r="B37" s="22" t="s">
        <v>77</v>
      </c>
      <c r="C37" s="23"/>
      <c r="D37" s="23"/>
      <c r="E37" s="25"/>
      <c r="F37" s="25"/>
      <c r="G37" s="70"/>
      <c r="H37" s="25"/>
      <c r="I37" s="74"/>
      <c r="J37" s="26">
        <f t="shared" si="8"/>
        <v>0</v>
      </c>
      <c r="K37" s="27">
        <v>1.1499999999999999</v>
      </c>
      <c r="L37" s="26">
        <f t="shared" si="9"/>
        <v>0</v>
      </c>
      <c r="M37" s="52">
        <v>0</v>
      </c>
      <c r="N37" s="28"/>
      <c r="O37" s="28"/>
      <c r="P37" s="29"/>
      <c r="Q37" s="30"/>
      <c r="R37" s="30"/>
      <c r="S37" s="30"/>
      <c r="T37" s="30"/>
      <c r="U37" s="29"/>
      <c r="V37" s="30"/>
      <c r="W37" s="30"/>
      <c r="X37" s="30"/>
      <c r="Y37" s="30"/>
      <c r="Z37" s="29"/>
      <c r="AA37" s="30"/>
      <c r="AB37" s="30"/>
      <c r="AC37" s="30"/>
      <c r="AD37" s="30"/>
      <c r="AE37" s="29"/>
      <c r="AF37" s="30"/>
      <c r="AG37" s="30"/>
      <c r="AH37" s="30"/>
      <c r="AI37" s="30"/>
      <c r="AJ37" s="29"/>
      <c r="AK37" s="30"/>
      <c r="AL37" s="30"/>
      <c r="AM37" s="30"/>
      <c r="AN37" s="30"/>
      <c r="AO37" s="29"/>
      <c r="AP37" s="30"/>
      <c r="AQ37" s="30"/>
      <c r="AR37" s="30"/>
      <c r="AS37" s="30"/>
      <c r="AT37" s="29"/>
      <c r="AU37" s="30"/>
      <c r="AV37" s="30"/>
      <c r="AW37" s="30"/>
      <c r="AX37" s="30"/>
      <c r="AY37" s="29"/>
      <c r="AZ37" s="30"/>
      <c r="BA37" s="30"/>
      <c r="BB37" s="30"/>
      <c r="BC37" s="30"/>
      <c r="BD37" s="29"/>
      <c r="BE37" s="30"/>
      <c r="BF37" s="30"/>
      <c r="BG37" s="30"/>
      <c r="BH37" s="30"/>
      <c r="BI37" s="29"/>
      <c r="BJ37" s="30"/>
      <c r="BK37" s="30"/>
      <c r="BL37" s="30"/>
      <c r="BM37" s="30"/>
      <c r="BN37" s="29"/>
      <c r="BO37" s="30"/>
      <c r="BP37" s="30"/>
      <c r="BQ37" s="30"/>
      <c r="BR37" s="30"/>
      <c r="BS37" s="29"/>
      <c r="BT37" s="30"/>
      <c r="BU37" s="30"/>
      <c r="BV37" s="30"/>
      <c r="BW37" s="30"/>
      <c r="BX37" s="29"/>
      <c r="BY37" s="30"/>
      <c r="BZ37" s="30"/>
      <c r="CA37" s="30"/>
      <c r="CB37" s="30"/>
    </row>
    <row r="38" spans="1:80" ht="18.75" customHeight="1" x14ac:dyDescent="0.25">
      <c r="A38" s="31" t="s">
        <v>78</v>
      </c>
      <c r="B38" s="32" t="s">
        <v>79</v>
      </c>
      <c r="C38" s="23"/>
      <c r="D38" s="23"/>
      <c r="E38" s="25"/>
      <c r="F38" s="25"/>
      <c r="G38" s="25"/>
      <c r="H38" s="25"/>
      <c r="I38" s="73"/>
      <c r="J38" s="33">
        <f t="shared" si="8"/>
        <v>0</v>
      </c>
      <c r="K38" s="27">
        <v>1.1499999999999999</v>
      </c>
      <c r="L38" s="33">
        <f t="shared" si="9"/>
        <v>0</v>
      </c>
      <c r="M38" s="52">
        <v>0</v>
      </c>
      <c r="N38" s="28"/>
      <c r="O38" s="28"/>
      <c r="P38" s="34"/>
      <c r="Q38" s="35"/>
      <c r="R38" s="35"/>
      <c r="S38" s="35"/>
      <c r="T38" s="35"/>
      <c r="U38" s="34"/>
      <c r="V38" s="35"/>
      <c r="W38" s="35"/>
      <c r="X38" s="35"/>
      <c r="Y38" s="35"/>
      <c r="Z38" s="34"/>
      <c r="AA38" s="35"/>
      <c r="AB38" s="35"/>
      <c r="AC38" s="35"/>
      <c r="AD38" s="35"/>
      <c r="AE38" s="34"/>
      <c r="AF38" s="35"/>
      <c r="AG38" s="35"/>
      <c r="AH38" s="35"/>
      <c r="AI38" s="35"/>
      <c r="AJ38" s="34"/>
      <c r="AK38" s="35"/>
      <c r="AL38" s="35"/>
      <c r="AM38" s="35"/>
      <c r="AN38" s="35"/>
      <c r="AO38" s="34"/>
      <c r="AP38" s="35"/>
      <c r="AQ38" s="35"/>
      <c r="AR38" s="35"/>
      <c r="AS38" s="35"/>
      <c r="AT38" s="34"/>
      <c r="AU38" s="35"/>
      <c r="AV38" s="35"/>
      <c r="AW38" s="35"/>
      <c r="AX38" s="35"/>
      <c r="AY38" s="34"/>
      <c r="AZ38" s="35"/>
      <c r="BA38" s="35"/>
      <c r="BB38" s="35"/>
      <c r="BC38" s="35"/>
      <c r="BD38" s="34"/>
      <c r="BE38" s="35"/>
      <c r="BF38" s="35"/>
      <c r="BG38" s="35"/>
      <c r="BH38" s="35"/>
      <c r="BI38" s="34"/>
      <c r="BJ38" s="35"/>
      <c r="BK38" s="35"/>
      <c r="BL38" s="35"/>
      <c r="BM38" s="35"/>
      <c r="BN38" s="34"/>
      <c r="BO38" s="35"/>
      <c r="BP38" s="35"/>
      <c r="BQ38" s="35"/>
      <c r="BR38" s="35"/>
      <c r="BS38" s="34"/>
      <c r="BT38" s="35"/>
      <c r="BU38" s="35"/>
      <c r="BV38" s="35"/>
      <c r="BW38" s="35"/>
      <c r="BX38" s="34"/>
      <c r="BY38" s="35"/>
      <c r="BZ38" s="35"/>
      <c r="CA38" s="35"/>
      <c r="CB38" s="35"/>
    </row>
    <row r="39" spans="1:80" ht="18.75" customHeight="1" x14ac:dyDescent="0.25">
      <c r="A39" s="75" t="s">
        <v>78</v>
      </c>
      <c r="B39" s="65" t="s">
        <v>80</v>
      </c>
      <c r="C39" s="23"/>
      <c r="D39" s="23"/>
      <c r="E39" s="25"/>
      <c r="F39" s="36"/>
      <c r="G39" s="70"/>
      <c r="H39" s="25"/>
      <c r="I39" s="25"/>
      <c r="J39" s="33">
        <f t="shared" si="8"/>
        <v>0</v>
      </c>
      <c r="K39" s="27">
        <v>1.1499999999999999</v>
      </c>
      <c r="L39" s="33">
        <f t="shared" si="9"/>
        <v>0</v>
      </c>
      <c r="M39" s="52">
        <v>0</v>
      </c>
      <c r="N39" s="28"/>
      <c r="O39" s="28"/>
      <c r="P39" s="34"/>
      <c r="Q39" s="35"/>
      <c r="R39" s="35"/>
      <c r="S39" s="35"/>
      <c r="T39" s="35"/>
      <c r="U39" s="34"/>
      <c r="V39" s="35"/>
      <c r="W39" s="35"/>
      <c r="X39" s="35"/>
      <c r="Y39" s="35"/>
      <c r="Z39" s="34"/>
      <c r="AA39" s="35"/>
      <c r="AB39" s="35"/>
      <c r="AC39" s="35"/>
      <c r="AD39" s="35"/>
      <c r="AE39" s="34"/>
      <c r="AF39" s="35"/>
      <c r="AG39" s="35"/>
      <c r="AH39" s="35"/>
      <c r="AI39" s="35"/>
      <c r="AJ39" s="34"/>
      <c r="AK39" s="35"/>
      <c r="AL39" s="35"/>
      <c r="AM39" s="35"/>
      <c r="AN39" s="35"/>
      <c r="AO39" s="34"/>
      <c r="AP39" s="35"/>
      <c r="AQ39" s="35"/>
      <c r="AR39" s="35"/>
      <c r="AS39" s="35"/>
      <c r="AT39" s="34"/>
      <c r="AU39" s="35"/>
      <c r="AV39" s="35"/>
      <c r="AW39" s="35"/>
      <c r="AX39" s="35"/>
      <c r="AY39" s="34"/>
      <c r="AZ39" s="35"/>
      <c r="BA39" s="35"/>
      <c r="BB39" s="35"/>
      <c r="BC39" s="35"/>
      <c r="BD39" s="34"/>
      <c r="BE39" s="35"/>
      <c r="BF39" s="35"/>
      <c r="BG39" s="35"/>
      <c r="BH39" s="35"/>
      <c r="BI39" s="34"/>
      <c r="BJ39" s="35"/>
      <c r="BK39" s="35"/>
      <c r="BL39" s="35"/>
      <c r="BM39" s="35"/>
      <c r="BN39" s="34"/>
      <c r="BO39" s="35"/>
      <c r="BP39" s="35"/>
      <c r="BQ39" s="35"/>
      <c r="BR39" s="35"/>
      <c r="BS39" s="34"/>
      <c r="BT39" s="35"/>
      <c r="BU39" s="35"/>
      <c r="BV39" s="35"/>
      <c r="BW39" s="35"/>
      <c r="BX39" s="34"/>
      <c r="BY39" s="35"/>
      <c r="BZ39" s="35"/>
      <c r="CA39" s="35"/>
      <c r="CB39" s="35"/>
    </row>
    <row r="40" spans="1:80" ht="18.75" customHeight="1" x14ac:dyDescent="0.25">
      <c r="A40" s="76" t="s">
        <v>78</v>
      </c>
      <c r="B40" s="64" t="s">
        <v>81</v>
      </c>
      <c r="C40" s="23"/>
      <c r="D40" s="23"/>
      <c r="E40" s="25"/>
      <c r="F40" s="25"/>
      <c r="G40" s="70"/>
      <c r="H40" s="25"/>
      <c r="I40" s="74"/>
      <c r="J40" s="33">
        <f t="shared" si="8"/>
        <v>0</v>
      </c>
      <c r="K40" s="27">
        <v>1.1499999999999999</v>
      </c>
      <c r="L40" s="33">
        <f t="shared" si="9"/>
        <v>0</v>
      </c>
      <c r="M40" s="52">
        <v>0</v>
      </c>
      <c r="N40" s="28"/>
      <c r="O40" s="28"/>
      <c r="P40" s="34"/>
      <c r="Q40" s="35"/>
      <c r="R40" s="35"/>
      <c r="S40" s="35"/>
      <c r="T40" s="35"/>
      <c r="U40" s="34"/>
      <c r="V40" s="35"/>
      <c r="W40" s="35"/>
      <c r="X40" s="35"/>
      <c r="Y40" s="35"/>
      <c r="Z40" s="34"/>
      <c r="AA40" s="35"/>
      <c r="AB40" s="35"/>
      <c r="AC40" s="35"/>
      <c r="AD40" s="35"/>
      <c r="AE40" s="34"/>
      <c r="AF40" s="35"/>
      <c r="AG40" s="35"/>
      <c r="AH40" s="35"/>
      <c r="AI40" s="35"/>
      <c r="AJ40" s="34"/>
      <c r="AK40" s="35"/>
      <c r="AL40" s="35"/>
      <c r="AM40" s="35"/>
      <c r="AN40" s="35"/>
      <c r="AO40" s="34"/>
      <c r="AP40" s="35"/>
      <c r="AQ40" s="35"/>
      <c r="AR40" s="35"/>
      <c r="AS40" s="35"/>
      <c r="AT40" s="34"/>
      <c r="AU40" s="35"/>
      <c r="AV40" s="35"/>
      <c r="AW40" s="35"/>
      <c r="AX40" s="35"/>
      <c r="AY40" s="34"/>
      <c r="AZ40" s="35"/>
      <c r="BA40" s="35"/>
      <c r="BB40" s="35"/>
      <c r="BC40" s="35"/>
      <c r="BD40" s="34"/>
      <c r="BE40" s="35"/>
      <c r="BF40" s="35"/>
      <c r="BG40" s="35"/>
      <c r="BH40" s="35"/>
      <c r="BI40" s="34"/>
      <c r="BJ40" s="35"/>
      <c r="BK40" s="35"/>
      <c r="BL40" s="35"/>
      <c r="BM40" s="35"/>
      <c r="BN40" s="34"/>
      <c r="BO40" s="35"/>
      <c r="BP40" s="35"/>
      <c r="BQ40" s="35"/>
      <c r="BR40" s="35"/>
      <c r="BS40" s="34"/>
      <c r="BT40" s="35"/>
      <c r="BU40" s="35"/>
      <c r="BV40" s="35"/>
      <c r="BW40" s="35"/>
      <c r="BX40" s="34"/>
      <c r="BY40" s="35"/>
      <c r="BZ40" s="35"/>
      <c r="CA40" s="35"/>
      <c r="CB40" s="35"/>
    </row>
    <row r="41" spans="1:80" ht="18" customHeight="1" x14ac:dyDescent="0.25">
      <c r="A41" s="119" t="s">
        <v>82</v>
      </c>
      <c r="B41" s="104"/>
      <c r="C41" s="104"/>
      <c r="D41" s="104"/>
      <c r="E41" s="37">
        <f t="shared" ref="E41:J41" si="10">SUM(E33:E37)</f>
        <v>0</v>
      </c>
      <c r="F41" s="38">
        <f t="shared" si="10"/>
        <v>0</v>
      </c>
      <c r="G41" s="39">
        <f t="shared" si="10"/>
        <v>0</v>
      </c>
      <c r="H41" s="39">
        <f t="shared" si="10"/>
        <v>0</v>
      </c>
      <c r="I41" s="40">
        <f t="shared" si="10"/>
        <v>0</v>
      </c>
      <c r="J41" s="41">
        <f t="shared" si="10"/>
        <v>0</v>
      </c>
      <c r="K41" s="42"/>
      <c r="L41" s="41">
        <f>SUM(L33:L37)</f>
        <v>0</v>
      </c>
      <c r="M41" s="42"/>
      <c r="N41" s="63">
        <v>0.4</v>
      </c>
      <c r="O41" s="43" t="str">
        <f>IFERROR(J41/J5,"")</f>
        <v/>
      </c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</row>
    <row r="42" spans="1:80" ht="3.75" customHeight="1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</row>
    <row r="43" spans="1:80" ht="21.75" customHeight="1" x14ac:dyDescent="0.25">
      <c r="A43" s="125" t="s">
        <v>83</v>
      </c>
      <c r="B43" s="104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4"/>
      <c r="CB43" s="104"/>
    </row>
    <row r="44" spans="1:80" ht="18.75" customHeight="1" x14ac:dyDescent="0.25">
      <c r="A44" s="31" t="s">
        <v>84</v>
      </c>
      <c r="B44" s="32" t="s">
        <v>85</v>
      </c>
      <c r="C44" s="23"/>
      <c r="D44" s="23"/>
      <c r="E44" s="25"/>
      <c r="F44" s="25"/>
      <c r="G44" s="44"/>
      <c r="H44" s="25"/>
      <c r="I44" s="73"/>
      <c r="J44" s="33">
        <f>IFERROR(SUM(E44:I44),"")</f>
        <v>0</v>
      </c>
      <c r="K44" s="27">
        <v>1.1499999999999999</v>
      </c>
      <c r="L44" s="33">
        <f>IFERROR(J44*K44,"")</f>
        <v>0</v>
      </c>
      <c r="M44" s="52">
        <v>0</v>
      </c>
      <c r="N44" s="28"/>
      <c r="O44" s="28"/>
      <c r="P44" s="34"/>
      <c r="Q44" s="35"/>
      <c r="R44" s="35"/>
      <c r="S44" s="35"/>
      <c r="T44" s="35"/>
      <c r="U44" s="34"/>
      <c r="V44" s="35"/>
      <c r="W44" s="35"/>
      <c r="X44" s="35"/>
      <c r="Y44" s="35"/>
      <c r="Z44" s="34"/>
      <c r="AA44" s="35"/>
      <c r="AB44" s="35"/>
      <c r="AC44" s="35"/>
      <c r="AD44" s="35"/>
      <c r="AE44" s="34"/>
      <c r="AF44" s="35"/>
      <c r="AG44" s="35"/>
      <c r="AH44" s="35"/>
      <c r="AI44" s="35"/>
      <c r="AJ44" s="34"/>
      <c r="AK44" s="35"/>
      <c r="AL44" s="35"/>
      <c r="AM44" s="35"/>
      <c r="AN44" s="35"/>
      <c r="AO44" s="34"/>
      <c r="AP44" s="35"/>
      <c r="AQ44" s="35"/>
      <c r="AR44" s="35"/>
      <c r="AS44" s="35"/>
      <c r="AT44" s="34"/>
      <c r="AU44" s="35"/>
      <c r="AV44" s="35"/>
      <c r="AW44" s="35"/>
      <c r="AX44" s="35"/>
      <c r="AY44" s="34"/>
      <c r="AZ44" s="35"/>
      <c r="BA44" s="35"/>
      <c r="BB44" s="35"/>
      <c r="BC44" s="35"/>
      <c r="BD44" s="34"/>
      <c r="BE44" s="35"/>
      <c r="BF44" s="35"/>
      <c r="BG44" s="35"/>
      <c r="BH44" s="35"/>
      <c r="BI44" s="34"/>
      <c r="BJ44" s="35"/>
      <c r="BK44" s="35"/>
      <c r="BL44" s="35"/>
      <c r="BM44" s="35"/>
      <c r="BN44" s="34"/>
      <c r="BO44" s="35"/>
      <c r="BP44" s="35"/>
      <c r="BQ44" s="35"/>
      <c r="BR44" s="35"/>
      <c r="BS44" s="34"/>
      <c r="BT44" s="35"/>
      <c r="BU44" s="35"/>
      <c r="BV44" s="35"/>
      <c r="BW44" s="35"/>
      <c r="BX44" s="34"/>
      <c r="BY44" s="35"/>
      <c r="BZ44" s="35"/>
      <c r="CA44" s="35"/>
      <c r="CB44" s="35"/>
    </row>
    <row r="45" spans="1:80" ht="18.75" customHeight="1" x14ac:dyDescent="0.25">
      <c r="A45" s="21" t="s">
        <v>86</v>
      </c>
      <c r="B45" s="65" t="s">
        <v>87</v>
      </c>
      <c r="C45" s="23"/>
      <c r="D45" s="23"/>
      <c r="E45" s="24"/>
      <c r="F45" s="25"/>
      <c r="G45" s="44"/>
      <c r="H45" s="68"/>
      <c r="I45" s="73"/>
      <c r="J45" s="26">
        <f>IFERROR(SUM(E45:I45),"")</f>
        <v>0</v>
      </c>
      <c r="K45" s="27">
        <v>1.1499999999999999</v>
      </c>
      <c r="L45" s="26">
        <f>IFERROR(J45*K45,"")</f>
        <v>0</v>
      </c>
      <c r="M45" s="52">
        <v>0</v>
      </c>
      <c r="N45" s="28"/>
      <c r="O45" s="28"/>
      <c r="P45" s="29"/>
      <c r="Q45" s="30"/>
      <c r="R45" s="30"/>
      <c r="S45" s="30"/>
      <c r="T45" s="30"/>
      <c r="U45" s="29"/>
      <c r="V45" s="30"/>
      <c r="W45" s="30"/>
      <c r="X45" s="30"/>
      <c r="Y45" s="30"/>
      <c r="Z45" s="29"/>
      <c r="AA45" s="30"/>
      <c r="AB45" s="30"/>
      <c r="AC45" s="30"/>
      <c r="AD45" s="30"/>
      <c r="AE45" s="29"/>
      <c r="AF45" s="30"/>
      <c r="AG45" s="30"/>
      <c r="AH45" s="30"/>
      <c r="AI45" s="30"/>
      <c r="AJ45" s="29"/>
      <c r="AK45" s="30"/>
      <c r="AL45" s="30"/>
      <c r="AM45" s="30"/>
      <c r="AN45" s="30"/>
      <c r="AO45" s="29"/>
      <c r="AP45" s="30"/>
      <c r="AQ45" s="30"/>
      <c r="AR45" s="30"/>
      <c r="AS45" s="30"/>
      <c r="AT45" s="29"/>
      <c r="AU45" s="30"/>
      <c r="AV45" s="30"/>
      <c r="AW45" s="30"/>
      <c r="AX45" s="30"/>
      <c r="AY45" s="29"/>
      <c r="AZ45" s="30"/>
      <c r="BA45" s="30"/>
      <c r="BB45" s="30"/>
      <c r="BC45" s="30"/>
      <c r="BD45" s="29"/>
      <c r="BE45" s="30"/>
      <c r="BF45" s="30"/>
      <c r="BG45" s="30"/>
      <c r="BH45" s="30"/>
      <c r="BI45" s="29"/>
      <c r="BJ45" s="30"/>
      <c r="BK45" s="30"/>
      <c r="BL45" s="30"/>
      <c r="BM45" s="30"/>
      <c r="BN45" s="29"/>
      <c r="BO45" s="30"/>
      <c r="BP45" s="30"/>
      <c r="BQ45" s="30"/>
      <c r="BR45" s="30"/>
      <c r="BS45" s="29"/>
      <c r="BT45" s="30"/>
      <c r="BU45" s="30"/>
      <c r="BV45" s="30"/>
      <c r="BW45" s="30"/>
      <c r="BX45" s="29"/>
      <c r="BY45" s="30"/>
      <c r="BZ45" s="30"/>
      <c r="CA45" s="30"/>
      <c r="CB45" s="30"/>
    </row>
    <row r="46" spans="1:80" ht="18.75" customHeight="1" x14ac:dyDescent="0.25">
      <c r="A46" s="31" t="s">
        <v>88</v>
      </c>
      <c r="B46" s="32" t="s">
        <v>89</v>
      </c>
      <c r="C46" s="23"/>
      <c r="D46" s="23"/>
      <c r="E46" s="25"/>
      <c r="F46" s="36"/>
      <c r="G46" s="70"/>
      <c r="H46" s="25"/>
      <c r="I46" s="74"/>
      <c r="J46" s="33">
        <f>IFERROR(SUM(E46:I46),"")</f>
        <v>0</v>
      </c>
      <c r="K46" s="27">
        <v>1.1499999999999999</v>
      </c>
      <c r="L46" s="33">
        <f>IFERROR(J46*K46,"")</f>
        <v>0</v>
      </c>
      <c r="M46" s="52">
        <v>0</v>
      </c>
      <c r="N46" s="28"/>
      <c r="O46" s="28"/>
      <c r="P46" s="34"/>
      <c r="Q46" s="35"/>
      <c r="R46" s="35"/>
      <c r="S46" s="35"/>
      <c r="T46" s="35"/>
      <c r="U46" s="34"/>
      <c r="V46" s="35"/>
      <c r="W46" s="35"/>
      <c r="X46" s="35"/>
      <c r="Y46" s="35"/>
      <c r="Z46" s="34"/>
      <c r="AA46" s="35"/>
      <c r="AB46" s="35"/>
      <c r="AC46" s="35"/>
      <c r="AD46" s="35"/>
      <c r="AE46" s="34"/>
      <c r="AF46" s="35"/>
      <c r="AG46" s="35"/>
      <c r="AH46" s="35"/>
      <c r="AI46" s="35"/>
      <c r="AJ46" s="34"/>
      <c r="AK46" s="35"/>
      <c r="AL46" s="35"/>
      <c r="AM46" s="35"/>
      <c r="AN46" s="35"/>
      <c r="AO46" s="34"/>
      <c r="AP46" s="35"/>
      <c r="AQ46" s="35"/>
      <c r="AR46" s="35"/>
      <c r="AS46" s="35"/>
      <c r="AT46" s="34"/>
      <c r="AU46" s="35"/>
      <c r="AV46" s="35"/>
      <c r="AW46" s="35"/>
      <c r="AX46" s="35"/>
      <c r="AY46" s="34"/>
      <c r="AZ46" s="35"/>
      <c r="BA46" s="35"/>
      <c r="BB46" s="35"/>
      <c r="BC46" s="35"/>
      <c r="BD46" s="34"/>
      <c r="BE46" s="35"/>
      <c r="BF46" s="35"/>
      <c r="BG46" s="35"/>
      <c r="BH46" s="35"/>
      <c r="BI46" s="34"/>
      <c r="BJ46" s="35"/>
      <c r="BK46" s="35"/>
      <c r="BL46" s="35"/>
      <c r="BM46" s="35"/>
      <c r="BN46" s="34"/>
      <c r="BO46" s="35"/>
      <c r="BP46" s="35"/>
      <c r="BQ46" s="35"/>
      <c r="BR46" s="35"/>
      <c r="BS46" s="34"/>
      <c r="BT46" s="35"/>
      <c r="BU46" s="35"/>
      <c r="BV46" s="35"/>
      <c r="BW46" s="35"/>
      <c r="BX46" s="34"/>
      <c r="BY46" s="35"/>
      <c r="BZ46" s="35"/>
      <c r="CA46" s="35"/>
      <c r="CB46" s="35"/>
    </row>
    <row r="47" spans="1:80" ht="18.75" customHeight="1" x14ac:dyDescent="0.25">
      <c r="A47" s="21" t="s">
        <v>90</v>
      </c>
      <c r="B47" s="22" t="s">
        <v>91</v>
      </c>
      <c r="C47" s="23"/>
      <c r="D47" s="23"/>
      <c r="E47" s="25"/>
      <c r="F47" s="25"/>
      <c r="G47" s="70"/>
      <c r="H47" s="68"/>
      <c r="I47" s="74"/>
      <c r="J47" s="26">
        <f>IFERROR(SUM(E47:I47),"")</f>
        <v>0</v>
      </c>
      <c r="K47" s="27">
        <v>1.1499999999999999</v>
      </c>
      <c r="L47" s="26">
        <f>IFERROR(J47*K47,"")</f>
        <v>0</v>
      </c>
      <c r="M47" s="52">
        <v>0</v>
      </c>
      <c r="N47" s="28"/>
      <c r="O47" s="28"/>
      <c r="P47" s="29"/>
      <c r="Q47" s="30"/>
      <c r="R47" s="30"/>
      <c r="S47" s="30"/>
      <c r="T47" s="30"/>
      <c r="U47" s="29"/>
      <c r="V47" s="30"/>
      <c r="W47" s="30"/>
      <c r="X47" s="30"/>
      <c r="Y47" s="30"/>
      <c r="Z47" s="29"/>
      <c r="AA47" s="30"/>
      <c r="AB47" s="30"/>
      <c r="AC47" s="30"/>
      <c r="AD47" s="30"/>
      <c r="AE47" s="29"/>
      <c r="AF47" s="30"/>
      <c r="AG47" s="30"/>
      <c r="AH47" s="30"/>
      <c r="AI47" s="30"/>
      <c r="AJ47" s="29"/>
      <c r="AK47" s="30"/>
      <c r="AL47" s="30"/>
      <c r="AM47" s="30"/>
      <c r="AN47" s="30"/>
      <c r="AO47" s="29"/>
      <c r="AP47" s="30"/>
      <c r="AQ47" s="30"/>
      <c r="AR47" s="30"/>
      <c r="AS47" s="30"/>
      <c r="AT47" s="29"/>
      <c r="AU47" s="30"/>
      <c r="AV47" s="30"/>
      <c r="AW47" s="30"/>
      <c r="AX47" s="30"/>
      <c r="AY47" s="29"/>
      <c r="AZ47" s="30"/>
      <c r="BA47" s="30"/>
      <c r="BB47" s="30"/>
      <c r="BC47" s="30"/>
      <c r="BD47" s="29"/>
      <c r="BE47" s="30"/>
      <c r="BF47" s="30"/>
      <c r="BG47" s="30"/>
      <c r="BH47" s="30"/>
      <c r="BI47" s="29"/>
      <c r="BJ47" s="30"/>
      <c r="BK47" s="30"/>
      <c r="BL47" s="30"/>
      <c r="BM47" s="30"/>
      <c r="BN47" s="29"/>
      <c r="BO47" s="30"/>
      <c r="BP47" s="30"/>
      <c r="BQ47" s="30"/>
      <c r="BR47" s="30"/>
      <c r="BS47" s="29"/>
      <c r="BT47" s="30"/>
      <c r="BU47" s="30"/>
      <c r="BV47" s="30"/>
      <c r="BW47" s="30"/>
      <c r="BX47" s="29"/>
      <c r="BY47" s="30"/>
      <c r="BZ47" s="30"/>
      <c r="CA47" s="30"/>
      <c r="CB47" s="30"/>
    </row>
    <row r="48" spans="1:80" ht="18.75" customHeight="1" x14ac:dyDescent="0.25">
      <c r="A48" s="76" t="s">
        <v>92</v>
      </c>
      <c r="B48" s="64" t="s">
        <v>93</v>
      </c>
      <c r="C48" s="23"/>
      <c r="D48" s="23"/>
      <c r="E48" s="25"/>
      <c r="F48" s="25"/>
      <c r="G48" s="44"/>
      <c r="H48" s="25"/>
      <c r="I48" s="73"/>
      <c r="J48" s="26">
        <f>IFERROR(SUM(E48:I48),"")</f>
        <v>0</v>
      </c>
      <c r="K48" s="27">
        <v>1.1499999999999999</v>
      </c>
      <c r="L48" s="26">
        <f>IFERROR(J48*K48,"")</f>
        <v>0</v>
      </c>
      <c r="M48" s="52">
        <v>0</v>
      </c>
      <c r="N48" s="28"/>
      <c r="O48" s="28"/>
      <c r="P48" s="29"/>
      <c r="Q48" s="30"/>
      <c r="R48" s="30"/>
      <c r="S48" s="30"/>
      <c r="T48" s="30"/>
      <c r="U48" s="29"/>
      <c r="V48" s="30"/>
      <c r="W48" s="30"/>
      <c r="X48" s="30"/>
      <c r="Y48" s="30"/>
      <c r="Z48" s="29"/>
      <c r="AA48" s="30"/>
      <c r="AB48" s="30"/>
      <c r="AC48" s="30"/>
      <c r="AD48" s="30"/>
      <c r="AE48" s="29"/>
      <c r="AF48" s="30"/>
      <c r="AG48" s="30"/>
      <c r="AH48" s="30"/>
      <c r="AI48" s="30"/>
      <c r="AJ48" s="29"/>
      <c r="AK48" s="30"/>
      <c r="AL48" s="30"/>
      <c r="AM48" s="30"/>
      <c r="AN48" s="30"/>
      <c r="AO48" s="29"/>
      <c r="AP48" s="30"/>
      <c r="AQ48" s="30"/>
      <c r="AR48" s="30"/>
      <c r="AS48" s="30"/>
      <c r="AT48" s="29"/>
      <c r="AU48" s="30"/>
      <c r="AV48" s="30"/>
      <c r="AW48" s="30"/>
      <c r="AX48" s="30"/>
      <c r="AY48" s="29"/>
      <c r="AZ48" s="30"/>
      <c r="BA48" s="30"/>
      <c r="BB48" s="30"/>
      <c r="BC48" s="30"/>
      <c r="BD48" s="29"/>
      <c r="BE48" s="30"/>
      <c r="BF48" s="30"/>
      <c r="BG48" s="30"/>
      <c r="BH48" s="30"/>
      <c r="BI48" s="29"/>
      <c r="BJ48" s="30"/>
      <c r="BK48" s="30"/>
      <c r="BL48" s="30"/>
      <c r="BM48" s="30"/>
      <c r="BN48" s="29"/>
      <c r="BO48" s="30"/>
      <c r="BP48" s="30"/>
      <c r="BQ48" s="30"/>
      <c r="BR48" s="30"/>
      <c r="BS48" s="29"/>
      <c r="BT48" s="30"/>
      <c r="BU48" s="30"/>
      <c r="BV48" s="30"/>
      <c r="BW48" s="30"/>
      <c r="BX48" s="29"/>
      <c r="BY48" s="30"/>
      <c r="BZ48" s="30"/>
      <c r="CA48" s="30"/>
      <c r="CB48" s="30"/>
    </row>
    <row r="49" spans="1:80" ht="18" customHeight="1" x14ac:dyDescent="0.25">
      <c r="A49" s="119" t="s">
        <v>94</v>
      </c>
      <c r="B49" s="104"/>
      <c r="C49" s="104"/>
      <c r="D49" s="104"/>
      <c r="E49" s="37">
        <f t="shared" ref="E49:J49" si="11">SUM(E44:E47)</f>
        <v>0</v>
      </c>
      <c r="F49" s="38">
        <f t="shared" si="11"/>
        <v>0</v>
      </c>
      <c r="G49" s="39">
        <f t="shared" si="11"/>
        <v>0</v>
      </c>
      <c r="H49" s="39">
        <f t="shared" si="11"/>
        <v>0</v>
      </c>
      <c r="I49" s="40">
        <f t="shared" si="11"/>
        <v>0</v>
      </c>
      <c r="J49" s="41">
        <f t="shared" si="11"/>
        <v>0</v>
      </c>
      <c r="K49" s="42"/>
      <c r="L49" s="41">
        <f>SUM(L44:L47)</f>
        <v>0</v>
      </c>
      <c r="M49" s="42"/>
      <c r="N49" s="63">
        <v>0.2</v>
      </c>
      <c r="O49" s="43" t="str">
        <f>IFERROR(J49/J5,"")</f>
        <v/>
      </c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</row>
    <row r="50" spans="1:80" ht="3.75" customHeight="1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</row>
    <row r="51" spans="1:80" x14ac:dyDescent="0.25">
      <c r="M51" s="53">
        <v>1</v>
      </c>
    </row>
    <row r="52" spans="1:80" x14ac:dyDescent="0.25">
      <c r="C52" s="22" t="s">
        <v>95</v>
      </c>
      <c r="D52" s="22" t="s">
        <v>96</v>
      </c>
      <c r="E52" s="72"/>
      <c r="F52" s="71"/>
      <c r="G52" s="70"/>
      <c r="H52" s="69"/>
      <c r="I52" s="73"/>
      <c r="M52" s="53">
        <v>0</v>
      </c>
    </row>
    <row r="53" spans="1:80" x14ac:dyDescent="0.25">
      <c r="D53" s="22" t="s">
        <v>97</v>
      </c>
      <c r="E53" s="24"/>
      <c r="F53" s="36"/>
      <c r="G53" s="44"/>
      <c r="H53" s="68"/>
      <c r="I53" s="74"/>
    </row>
  </sheetData>
  <mergeCells count="24">
    <mergeCell ref="A23:D23"/>
    <mergeCell ref="A32:CB32"/>
    <mergeCell ref="P3:CB3"/>
    <mergeCell ref="A1:E1"/>
    <mergeCell ref="E5:I5"/>
    <mergeCell ref="I3:K3"/>
    <mergeCell ref="B3:E3"/>
    <mergeCell ref="P2:CB2"/>
    <mergeCell ref="A49:D49"/>
    <mergeCell ref="A6:D6"/>
    <mergeCell ref="A41:D41"/>
    <mergeCell ref="A16:D16"/>
    <mergeCell ref="B2:E2"/>
    <mergeCell ref="A25:CB25"/>
    <mergeCell ref="I2:K2"/>
    <mergeCell ref="A18:CB18"/>
    <mergeCell ref="A43:CB43"/>
    <mergeCell ref="P5:CB5"/>
    <mergeCell ref="B4:E4"/>
    <mergeCell ref="A30:D30"/>
    <mergeCell ref="A9:CB9"/>
    <mergeCell ref="P4:CB4"/>
    <mergeCell ref="I4:K4"/>
    <mergeCell ref="A5:D5"/>
  </mergeCells>
  <conditionalFormatting sqref="M10:M106">
    <cfRule type="dataBar" priority="62">
      <dataBar>
        <cfvo type="min"/>
        <cfvo type="max"/>
        <color rgb="FF63C384"/>
      </dataBar>
    </cfRule>
  </conditionalFormatting>
  <conditionalFormatting sqref="O16">
    <cfRule type="expression" dxfId="24" priority="6">
      <formula>AND(O16&gt;=0.1,O16&lt;=0.15)</formula>
    </cfRule>
    <cfRule type="expression" dxfId="23" priority="7">
      <formula>OR(AND(O16&gt;=0.05,O16&lt;0.1),AND(O16&gt;0.15,O16&lt;=0.2))</formula>
    </cfRule>
    <cfRule type="expression" dxfId="22" priority="8">
      <formula>OR(O16&lt;0.05,O16&gt;0.2)</formula>
    </cfRule>
  </conditionalFormatting>
  <conditionalFormatting sqref="O23">
    <cfRule type="expression" dxfId="21" priority="9">
      <formula>AND(O23&gt;=0.12,O23&lt;=0.18)</formula>
    </cfRule>
    <cfRule type="expression" dxfId="20" priority="10">
      <formula>OR(AND(O23&gt;=0.07,O23&lt;0.12),AND(O23&gt;0.18,O23&lt;=0.23))</formula>
    </cfRule>
    <cfRule type="expression" dxfId="19" priority="11">
      <formula>OR(O23&lt;0.07,O23&gt;0.23)</formula>
    </cfRule>
  </conditionalFormatting>
  <conditionalFormatting sqref="O30">
    <cfRule type="expression" dxfId="18" priority="12">
      <formula>AND(O30&gt;=0.08,O30&lt;=0.12)</formula>
    </cfRule>
    <cfRule type="expression" dxfId="17" priority="13">
      <formula>OR(AND(O30&gt;=0.03,O30&lt;0.08),AND(O30&gt;0.12,O30&lt;=0.17))</formula>
    </cfRule>
    <cfRule type="expression" dxfId="16" priority="14">
      <formula>OR(O30&lt;0.03,O30&gt;0.17)</formula>
    </cfRule>
  </conditionalFormatting>
  <conditionalFormatting sqref="O41">
    <cfRule type="expression" dxfId="15" priority="15">
      <formula>AND(O41&gt;=0.35,O41&lt;=0.45)</formula>
    </cfRule>
    <cfRule type="expression" dxfId="14" priority="16">
      <formula>OR(AND(O41&gt;=0.3,O41&lt;0.35),AND(O41&gt;0.45,O41&lt;=0.5))</formula>
    </cfRule>
    <cfRule type="expression" dxfId="13" priority="17">
      <formula>OR(O41&lt;0.3,O41&gt;0.5)</formula>
    </cfRule>
  </conditionalFormatting>
  <conditionalFormatting sqref="O49">
    <cfRule type="expression" dxfId="12" priority="18">
      <formula>AND(O49&gt;=0.18,O49&lt;=0.25)</formula>
    </cfRule>
    <cfRule type="expression" dxfId="11" priority="19">
      <formula>OR(AND(O49&gt;=0.13,O49&lt;0.18),AND(O49&gt;0.25,O49&lt;=0.3))</formula>
    </cfRule>
    <cfRule type="expression" dxfId="10" priority="20">
      <formula>OR(O49&lt;0.13,O49&gt;0.3)</formula>
    </cfRule>
  </conditionalFormatting>
  <conditionalFormatting sqref="P10:CB15">
    <cfRule type="expression" dxfId="9" priority="21">
      <formula>AND(P$6&gt;=$C10,P$6&lt;=$D10,$C10&lt;&gt;"")</formula>
    </cfRule>
    <cfRule type="expression" dxfId="8" priority="22">
      <formula>AND(P$6=TODAY(),$C10&lt;&gt;"")</formula>
    </cfRule>
  </conditionalFormatting>
  <conditionalFormatting sqref="P19:CB22">
    <cfRule type="expression" dxfId="7" priority="23">
      <formula>AND(P$6&gt;=$C19,P$6&lt;=$D19,$C19&lt;&gt;"")</formula>
    </cfRule>
    <cfRule type="expression" dxfId="6" priority="24">
      <formula>AND(P$6=TODAY(),$C19&lt;&gt;"")</formula>
    </cfRule>
  </conditionalFormatting>
  <conditionalFormatting sqref="P26:CB29">
    <cfRule type="expression" dxfId="5" priority="25">
      <formula>AND(P$6&gt;=$C26,P$6&lt;=$D26,$C26&lt;&gt;"")</formula>
    </cfRule>
    <cfRule type="expression" dxfId="4" priority="26">
      <formula>AND(P$6=TODAY(),$C26&lt;&gt;"")</formula>
    </cfRule>
  </conditionalFormatting>
  <conditionalFormatting sqref="P33:CB40">
    <cfRule type="expression" dxfId="3" priority="27">
      <formula>AND(P$6&gt;=$C33,P$6&lt;=$D33,$C33&lt;&gt;"")</formula>
    </cfRule>
    <cfRule type="expression" dxfId="2" priority="28">
      <formula>AND(P$6=TODAY(),$C33&lt;&gt;"")</formula>
    </cfRule>
  </conditionalFormatting>
  <conditionalFormatting sqref="P44:CB48">
    <cfRule type="expression" dxfId="1" priority="29">
      <formula>AND(P$6&gt;=$C44,P$6&lt;=$D44,$C44&lt;&gt;"")</formula>
    </cfRule>
    <cfRule type="expression" dxfId="0" priority="30">
      <formula>AND(P$6=TODAY(),$C44&lt;&gt;"")</formula>
    </cfRule>
  </conditionalFormatting>
  <dataValidations count="1">
    <dataValidation type="list" sqref="K9:K51" xr:uid="{00000000-0002-0000-0000-000000000000}">
      <formula1>"1.1,1.15,1.25,1.3,1.5"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ignoredErrors>
    <ignoredError sqref="A10 A11:A15 A19:A22 A26:A29 A33:A40 A44:A4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B2A4A"/>
  </sheetPr>
  <dimension ref="A1:H49"/>
  <sheetViews>
    <sheetView tabSelected="1" workbookViewId="0">
      <pane ySplit="8" topLeftCell="A9" activePane="bottomLeft" state="frozen"/>
      <selection pane="bottomLeft" activeCell="L14" sqref="L14"/>
    </sheetView>
  </sheetViews>
  <sheetFormatPr defaultRowHeight="15" x14ac:dyDescent="0.25"/>
  <cols>
    <col min="1" max="1" width="7" customWidth="1"/>
    <col min="2" max="2" width="34" customWidth="1"/>
    <col min="3" max="8" width="9" customWidth="1"/>
  </cols>
  <sheetData>
    <row r="1" spans="1:8" ht="36" customHeight="1" x14ac:dyDescent="0.25">
      <c r="A1" s="103" t="s">
        <v>0</v>
      </c>
      <c r="B1" s="104"/>
      <c r="C1" s="104"/>
      <c r="D1" s="104"/>
      <c r="E1" s="104"/>
      <c r="F1" s="104"/>
      <c r="G1" s="104"/>
      <c r="H1" s="104"/>
    </row>
    <row r="2" spans="1:8" ht="18" customHeight="1" x14ac:dyDescent="0.25">
      <c r="A2" s="77" t="s">
        <v>1</v>
      </c>
      <c r="B2" s="108">
        <f>'WBS &amp; Gantt'!B2</f>
        <v>0</v>
      </c>
      <c r="C2" s="104"/>
      <c r="D2" s="104"/>
      <c r="E2" s="104"/>
      <c r="F2" s="77" t="s">
        <v>2</v>
      </c>
      <c r="G2" s="113">
        <f>'WBS &amp; Gantt'!I2</f>
        <v>46139</v>
      </c>
      <c r="H2" s="104"/>
    </row>
    <row r="3" spans="1:8" ht="18" customHeight="1" x14ac:dyDescent="0.25">
      <c r="A3" s="77" t="s">
        <v>3</v>
      </c>
      <c r="B3" s="108">
        <f>'WBS &amp; Gantt'!B3</f>
        <v>0</v>
      </c>
      <c r="C3" s="104"/>
      <c r="D3" s="104"/>
      <c r="E3" s="104"/>
      <c r="F3" s="77" t="s">
        <v>4</v>
      </c>
      <c r="G3" s="109" t="str">
        <f>'WBS &amp; Gantt'!I3</f>
        <v>v1.0</v>
      </c>
      <c r="H3" s="104"/>
    </row>
    <row r="4" spans="1:8" ht="39.75" customHeight="1" x14ac:dyDescent="0.25">
      <c r="A4" s="77" t="s">
        <v>6</v>
      </c>
      <c r="B4" s="107">
        <f>'WBS &amp; Gantt'!B4</f>
        <v>0</v>
      </c>
      <c r="C4" s="104"/>
      <c r="D4" s="104"/>
      <c r="E4" s="104"/>
      <c r="F4" s="77" t="s">
        <v>7</v>
      </c>
      <c r="G4" s="109" t="str">
        <f>'WBS &amp; Gantt'!I4</f>
        <v>En cours de planification</v>
      </c>
      <c r="H4" s="104"/>
    </row>
    <row r="5" spans="1:8" ht="21.75" customHeight="1" x14ac:dyDescent="0.25">
      <c r="A5" s="110" t="s">
        <v>9</v>
      </c>
      <c r="B5" s="104"/>
      <c r="C5" s="114" t="s">
        <v>98</v>
      </c>
      <c r="D5" s="104"/>
      <c r="E5" s="104"/>
      <c r="F5" s="104"/>
      <c r="G5" s="104"/>
      <c r="H5" s="84">
        <f>'WBS &amp; Gantt'!J5</f>
        <v>0</v>
      </c>
    </row>
    <row r="6" spans="1:8" ht="21.75" customHeight="1" x14ac:dyDescent="0.25">
      <c r="A6" s="105" t="s">
        <v>12</v>
      </c>
      <c r="B6" s="104"/>
      <c r="C6" s="85">
        <f>'WBS &amp; Gantt'!E6</f>
        <v>0</v>
      </c>
      <c r="D6" s="85">
        <f>'WBS &amp; Gantt'!F6</f>
        <v>0</v>
      </c>
      <c r="E6" s="85">
        <f>'WBS &amp; Gantt'!G6</f>
        <v>0</v>
      </c>
      <c r="F6" s="85">
        <f>'WBS &amp; Gantt'!H6</f>
        <v>0</v>
      </c>
      <c r="G6" s="85">
        <f>'WBS &amp; Gantt'!I6</f>
        <v>0</v>
      </c>
      <c r="H6" s="85">
        <f>SUM(C6:G6)</f>
        <v>0</v>
      </c>
    </row>
    <row r="7" spans="1:8" ht="19.5" customHeight="1" x14ac:dyDescent="0.25">
      <c r="A7" s="106"/>
      <c r="B7" s="104"/>
      <c r="C7" s="86" t="s">
        <v>13</v>
      </c>
      <c r="D7" s="87" t="s">
        <v>14</v>
      </c>
      <c r="E7" s="88" t="s">
        <v>15</v>
      </c>
      <c r="F7" s="89" t="s">
        <v>16</v>
      </c>
      <c r="G7" s="90" t="s">
        <v>17</v>
      </c>
      <c r="H7" s="91" t="s">
        <v>23</v>
      </c>
    </row>
    <row r="8" spans="1:8" ht="21.75" customHeight="1" thickBot="1" x14ac:dyDescent="0.3">
      <c r="A8" s="78" t="s">
        <v>18</v>
      </c>
      <c r="B8" s="78" t="s">
        <v>19</v>
      </c>
      <c r="C8" s="79" t="s">
        <v>22</v>
      </c>
      <c r="D8" s="80" t="s">
        <v>22</v>
      </c>
      <c r="E8" s="81" t="s">
        <v>22</v>
      </c>
      <c r="F8" s="82" t="s">
        <v>22</v>
      </c>
      <c r="G8" s="83" t="s">
        <v>22</v>
      </c>
      <c r="H8" s="78" t="s">
        <v>23</v>
      </c>
    </row>
    <row r="9" spans="1:8" ht="21.75" customHeight="1" x14ac:dyDescent="0.25">
      <c r="A9" s="111" t="s">
        <v>33</v>
      </c>
      <c r="B9" s="111"/>
      <c r="C9" s="111"/>
      <c r="D9" s="111"/>
      <c r="E9" s="111"/>
      <c r="F9" s="111"/>
      <c r="G9" s="111"/>
      <c r="H9" s="111"/>
    </row>
    <row r="10" spans="1:8" ht="18.75" customHeight="1" x14ac:dyDescent="0.25">
      <c r="A10" s="92">
        <v>0.1</v>
      </c>
      <c r="B10" s="93" t="str">
        <f>'WBS &amp; Gantt'!B10</f>
        <v>Kick-off &amp; Initialisation projet</v>
      </c>
      <c r="C10" s="94"/>
      <c r="D10" s="94"/>
      <c r="E10" s="94"/>
      <c r="F10" s="94"/>
      <c r="G10" s="94"/>
      <c r="H10" s="95">
        <f>'WBS &amp; Gantt'!J10</f>
        <v>0</v>
      </c>
    </row>
    <row r="11" spans="1:8" ht="18.75" customHeight="1" x14ac:dyDescent="0.25">
      <c r="A11" s="96">
        <v>0.2</v>
      </c>
      <c r="B11" s="97" t="str">
        <f>'WBS &amp; Gantt'!B11</f>
        <v>Réunions COPIL / COTECH</v>
      </c>
      <c r="C11" s="98"/>
      <c r="D11" s="98"/>
      <c r="E11" s="98"/>
      <c r="F11" s="98"/>
      <c r="G11" s="98"/>
      <c r="H11" s="99">
        <f>'WBS &amp; Gantt'!J11</f>
        <v>0</v>
      </c>
    </row>
    <row r="12" spans="1:8" ht="18.75" customHeight="1" x14ac:dyDescent="0.25">
      <c r="A12" s="92">
        <v>0.3</v>
      </c>
      <c r="B12" s="93" t="str">
        <f>'WBS &amp; Gantt'!B12</f>
        <v>Gestion des risques &amp; aléas</v>
      </c>
      <c r="C12" s="94"/>
      <c r="D12" s="94"/>
      <c r="E12" s="94"/>
      <c r="F12" s="94"/>
      <c r="G12" s="94"/>
      <c r="H12" s="95">
        <f>'WBS &amp; Gantt'!J12</f>
        <v>0</v>
      </c>
    </row>
    <row r="13" spans="1:8" ht="18.75" customHeight="1" x14ac:dyDescent="0.25">
      <c r="A13" s="96">
        <v>0.4</v>
      </c>
      <c r="B13" s="97" t="str">
        <f>'WBS &amp; Gantt'!B13</f>
        <v>Rédaction &amp; validation du cahier de recette</v>
      </c>
      <c r="C13" s="98"/>
      <c r="D13" s="98"/>
      <c r="E13" s="98"/>
      <c r="F13" s="98"/>
      <c r="G13" s="98"/>
      <c r="H13" s="99">
        <f>'WBS &amp; Gantt'!J13</f>
        <v>0</v>
      </c>
    </row>
    <row r="14" spans="1:8" ht="18.75" customHeight="1" x14ac:dyDescent="0.25">
      <c r="A14" s="92">
        <v>0.5</v>
      </c>
      <c r="B14" s="93" t="str">
        <f>'WBS &amp; Gantt'!B14</f>
        <v>Rédaction des comptes-rendus et livrables projet</v>
      </c>
      <c r="C14" s="94"/>
      <c r="D14" s="94"/>
      <c r="E14" s="94"/>
      <c r="F14" s="94"/>
      <c r="G14" s="94"/>
      <c r="H14" s="95">
        <f>'WBS &amp; Gantt'!J14</f>
        <v>0</v>
      </c>
    </row>
    <row r="15" spans="1:8" ht="18.75" customHeight="1" x14ac:dyDescent="0.25">
      <c r="A15" s="96">
        <v>0.6</v>
      </c>
      <c r="B15" s="97" t="str">
        <f>'WBS &amp; Gantt'!B15</f>
        <v>Clôture projet</v>
      </c>
      <c r="C15" s="98"/>
      <c r="D15" s="98"/>
      <c r="E15" s="98"/>
      <c r="F15" s="98"/>
      <c r="G15" s="98"/>
      <c r="H15" s="99">
        <f>'WBS &amp; Gantt'!J15</f>
        <v>0</v>
      </c>
    </row>
    <row r="16" spans="1:8" ht="18" customHeight="1" thickBot="1" x14ac:dyDescent="0.3">
      <c r="A16" s="112" t="s">
        <v>46</v>
      </c>
      <c r="B16" s="112"/>
      <c r="C16" s="100">
        <f>'WBS &amp; Gantt'!E16</f>
        <v>0</v>
      </c>
      <c r="D16" s="100">
        <f>'WBS &amp; Gantt'!F16</f>
        <v>0</v>
      </c>
      <c r="E16" s="100">
        <f>'WBS &amp; Gantt'!G16</f>
        <v>0</v>
      </c>
      <c r="F16" s="100">
        <f>'WBS &amp; Gantt'!H16</f>
        <v>0</v>
      </c>
      <c r="G16" s="100">
        <f>'WBS &amp; Gantt'!I16</f>
        <v>0</v>
      </c>
      <c r="H16" s="101">
        <f>'WBS &amp; Gantt'!J16</f>
        <v>0</v>
      </c>
    </row>
    <row r="17" spans="1:8" ht="3.75" customHeight="1" x14ac:dyDescent="0.25"/>
    <row r="18" spans="1:8" ht="21.75" customHeight="1" x14ac:dyDescent="0.25">
      <c r="A18" s="116" t="s">
        <v>47</v>
      </c>
      <c r="B18" s="116"/>
      <c r="C18" s="116"/>
      <c r="D18" s="116"/>
      <c r="E18" s="116"/>
      <c r="F18" s="116"/>
      <c r="G18" s="116"/>
      <c r="H18" s="116"/>
    </row>
    <row r="19" spans="1:8" ht="18.75" customHeight="1" x14ac:dyDescent="0.25">
      <c r="A19" s="92">
        <v>1.1000000000000001</v>
      </c>
      <c r="B19" s="93" t="str">
        <f>'WBS &amp; Gantt'!B19</f>
        <v>Ateliers de recueil du besoin</v>
      </c>
      <c r="C19" s="94"/>
      <c r="D19" s="94"/>
      <c r="E19" s="94"/>
      <c r="F19" s="94"/>
      <c r="G19" s="94"/>
      <c r="H19" s="95">
        <f>'WBS &amp; Gantt'!J19</f>
        <v>0</v>
      </c>
    </row>
    <row r="20" spans="1:8" ht="18.75" customHeight="1" x14ac:dyDescent="0.25">
      <c r="A20" s="96">
        <v>1.2</v>
      </c>
      <c r="B20" s="97" t="str">
        <f>'WBS &amp; Gantt'!B20</f>
        <v>Rédaction des specifications &amp; user stories</v>
      </c>
      <c r="C20" s="98"/>
      <c r="D20" s="98"/>
      <c r="E20" s="98"/>
      <c r="F20" s="98"/>
      <c r="G20" s="98"/>
      <c r="H20" s="99">
        <f>'WBS &amp; Gantt'!J20</f>
        <v>0</v>
      </c>
    </row>
    <row r="21" spans="1:8" ht="18.75" customHeight="1" x14ac:dyDescent="0.25">
      <c r="A21" s="92">
        <v>1.3</v>
      </c>
      <c r="B21" s="93" t="str">
        <f>'WBS &amp; Gantt'!B21</f>
        <v>Audit de l'instance existante</v>
      </c>
      <c r="C21" s="94"/>
      <c r="D21" s="94"/>
      <c r="E21" s="94"/>
      <c r="F21" s="94"/>
      <c r="G21" s="94"/>
      <c r="H21" s="95">
        <f>'WBS &amp; Gantt'!J21</f>
        <v>0</v>
      </c>
    </row>
    <row r="22" spans="1:8" ht="18.75" customHeight="1" x14ac:dyDescent="0.25">
      <c r="A22" s="96">
        <v>1.4</v>
      </c>
      <c r="B22" s="97" t="str">
        <f>'WBS &amp; Gantt'!B22</f>
        <v>Validation fonctionnelle du périmètre</v>
      </c>
      <c r="C22" s="98"/>
      <c r="D22" s="98"/>
      <c r="E22" s="98"/>
      <c r="F22" s="98"/>
      <c r="G22" s="98"/>
      <c r="H22" s="99">
        <f>'WBS &amp; Gantt'!J22</f>
        <v>0</v>
      </c>
    </row>
    <row r="23" spans="1:8" ht="18" customHeight="1" thickBot="1" x14ac:dyDescent="0.3">
      <c r="A23" s="112" t="s">
        <v>56</v>
      </c>
      <c r="B23" s="112"/>
      <c r="C23" s="100">
        <f>'WBS &amp; Gantt'!E23</f>
        <v>0</v>
      </c>
      <c r="D23" s="100">
        <f>'WBS &amp; Gantt'!F23</f>
        <v>0</v>
      </c>
      <c r="E23" s="100">
        <f>'WBS &amp; Gantt'!G23</f>
        <v>0</v>
      </c>
      <c r="F23" s="100">
        <f>'WBS &amp; Gantt'!H23</f>
        <v>0</v>
      </c>
      <c r="G23" s="100">
        <f>'WBS &amp; Gantt'!I23</f>
        <v>0</v>
      </c>
      <c r="H23" s="101">
        <f>'WBS &amp; Gantt'!J23</f>
        <v>0</v>
      </c>
    </row>
    <row r="24" spans="1:8" ht="3.75" customHeight="1" x14ac:dyDescent="0.25"/>
    <row r="25" spans="1:8" ht="21.75" customHeight="1" x14ac:dyDescent="0.25">
      <c r="A25" s="115" t="s">
        <v>57</v>
      </c>
      <c r="B25" s="115"/>
      <c r="C25" s="115"/>
      <c r="D25" s="115"/>
      <c r="E25" s="115"/>
      <c r="F25" s="115"/>
      <c r="G25" s="115"/>
      <c r="H25" s="115"/>
    </row>
    <row r="26" spans="1:8" ht="18.75" customHeight="1" x14ac:dyDescent="0.25">
      <c r="A26" s="92">
        <v>2.1</v>
      </c>
      <c r="B26" s="93" t="str">
        <f>'WBS &amp; Gantt'!B26</f>
        <v>Architecture technique &amp; choix de configuration</v>
      </c>
      <c r="C26" s="94"/>
      <c r="D26" s="94"/>
      <c r="E26" s="94"/>
      <c r="F26" s="94"/>
      <c r="G26" s="94"/>
      <c r="H26" s="95">
        <f>'WBS &amp; Gantt'!J26</f>
        <v>0</v>
      </c>
    </row>
    <row r="27" spans="1:8" ht="18.75" customHeight="1" x14ac:dyDescent="0.25">
      <c r="A27" s="96">
        <v>2.2000000000000002</v>
      </c>
      <c r="B27" s="97" t="str">
        <f>'WBS &amp; Gantt'!B27</f>
        <v>Design UX / Maquettes Service Portal</v>
      </c>
      <c r="C27" s="98"/>
      <c r="D27" s="98"/>
      <c r="E27" s="98"/>
      <c r="F27" s="98"/>
      <c r="G27" s="98"/>
      <c r="H27" s="99">
        <f>'WBS &amp; Gantt'!J27</f>
        <v>0</v>
      </c>
    </row>
    <row r="28" spans="1:8" ht="18.75" customHeight="1" x14ac:dyDescent="0.25">
      <c r="A28" s="92">
        <v>2.2999999999999998</v>
      </c>
      <c r="B28" s="93" t="str">
        <f>'WBS &amp; Gantt'!B28</f>
        <v>Conception des intégrations (API / Spokes)</v>
      </c>
      <c r="C28" s="94"/>
      <c r="D28" s="94"/>
      <c r="E28" s="94"/>
      <c r="F28" s="94"/>
      <c r="G28" s="94"/>
      <c r="H28" s="95">
        <f>'WBS &amp; Gantt'!J28</f>
        <v>0</v>
      </c>
    </row>
    <row r="29" spans="1:8" ht="18.75" customHeight="1" x14ac:dyDescent="0.25">
      <c r="A29" s="96">
        <v>2.4</v>
      </c>
      <c r="B29" s="97" t="str">
        <f>'WBS &amp; Gantt'!B29</f>
        <v>Documentation technique d'architecture</v>
      </c>
      <c r="C29" s="98"/>
      <c r="D29" s="98"/>
      <c r="E29" s="98"/>
      <c r="F29" s="98"/>
      <c r="G29" s="98"/>
      <c r="H29" s="99">
        <f>'WBS &amp; Gantt'!J29</f>
        <v>0</v>
      </c>
    </row>
    <row r="30" spans="1:8" ht="18" customHeight="1" thickBot="1" x14ac:dyDescent="0.3">
      <c r="A30" s="112" t="s">
        <v>66</v>
      </c>
      <c r="B30" s="112"/>
      <c r="C30" s="100">
        <f>'WBS &amp; Gantt'!E30</f>
        <v>0</v>
      </c>
      <c r="D30" s="100">
        <f>'WBS &amp; Gantt'!F30</f>
        <v>0</v>
      </c>
      <c r="E30" s="100">
        <f>'WBS &amp; Gantt'!G30</f>
        <v>0</v>
      </c>
      <c r="F30" s="100">
        <f>'WBS &amp; Gantt'!H30</f>
        <v>0</v>
      </c>
      <c r="G30" s="100">
        <f>'WBS &amp; Gantt'!I30</f>
        <v>0</v>
      </c>
      <c r="H30" s="101">
        <f>'WBS &amp; Gantt'!J30</f>
        <v>0</v>
      </c>
    </row>
    <row r="31" spans="1:8" ht="3.75" customHeight="1" x14ac:dyDescent="0.25"/>
    <row r="32" spans="1:8" ht="21.75" customHeight="1" x14ac:dyDescent="0.25">
      <c r="A32" s="117" t="s">
        <v>67</v>
      </c>
      <c r="B32" s="117"/>
      <c r="C32" s="117"/>
      <c r="D32" s="117"/>
      <c r="E32" s="117"/>
      <c r="F32" s="117"/>
      <c r="G32" s="117"/>
      <c r="H32" s="117"/>
    </row>
    <row r="33" spans="1:8" ht="18.75" customHeight="1" x14ac:dyDescent="0.25">
      <c r="A33" s="92">
        <v>3.1</v>
      </c>
      <c r="B33" s="93" t="str">
        <f>'WBS &amp; Gantt'!B33</f>
        <v>Configuration tables &amp; data schema</v>
      </c>
      <c r="C33" s="94"/>
      <c r="D33" s="94"/>
      <c r="E33" s="94"/>
      <c r="F33" s="94"/>
      <c r="G33" s="94"/>
      <c r="H33" s="95">
        <f>'WBS &amp; Gantt'!J33</f>
        <v>0</v>
      </c>
    </row>
    <row r="34" spans="1:8" ht="18.75" customHeight="1" x14ac:dyDescent="0.25">
      <c r="A34" s="96">
        <v>3.2</v>
      </c>
      <c r="B34" s="97" t="str">
        <f>'WBS &amp; Gantt'!B34</f>
        <v>Logique métier (Business Rules / Flow Designer)</v>
      </c>
      <c r="C34" s="98"/>
      <c r="D34" s="98"/>
      <c r="E34" s="98"/>
      <c r="F34" s="98"/>
      <c r="G34" s="98"/>
      <c r="H34" s="99">
        <f>'WBS &amp; Gantt'!J34</f>
        <v>0</v>
      </c>
    </row>
    <row r="35" spans="1:8" ht="18.75" customHeight="1" x14ac:dyDescent="0.25">
      <c r="A35" s="92">
        <v>3.3</v>
      </c>
      <c r="B35" s="93" t="str">
        <f>'WBS &amp; Gantt'!B35</f>
        <v>Intégrations &amp; API tierces</v>
      </c>
      <c r="C35" s="94"/>
      <c r="D35" s="94"/>
      <c r="E35" s="94"/>
      <c r="F35" s="94"/>
      <c r="G35" s="94"/>
      <c r="H35" s="95">
        <f>'WBS &amp; Gantt'!J35</f>
        <v>0</v>
      </c>
    </row>
    <row r="36" spans="1:8" ht="18.75" customHeight="1" x14ac:dyDescent="0.25">
      <c r="A36" s="96">
        <v>3.4</v>
      </c>
      <c r="B36" s="97" t="str">
        <f>'WBS &amp; Gantt'!B36</f>
        <v>Service Portal &amp; widgets</v>
      </c>
      <c r="C36" s="98"/>
      <c r="D36" s="98"/>
      <c r="E36" s="98"/>
      <c r="F36" s="98"/>
      <c r="G36" s="98"/>
      <c r="H36" s="99">
        <f>'WBS &amp; Gantt'!J36</f>
        <v>0</v>
      </c>
    </row>
    <row r="37" spans="1:8" ht="18.75" customHeight="1" x14ac:dyDescent="0.25">
      <c r="A37" s="92">
        <v>3.5</v>
      </c>
      <c r="B37" s="93" t="str">
        <f>'WBS &amp; Gantt'!B37</f>
        <v>Gestion &amp; promotion des Update Sets</v>
      </c>
      <c r="C37" s="94"/>
      <c r="D37" s="94"/>
      <c r="E37" s="94"/>
      <c r="F37" s="94"/>
      <c r="G37" s="94"/>
      <c r="H37" s="95">
        <f>'WBS &amp; Gantt'!J37</f>
        <v>0</v>
      </c>
    </row>
    <row r="38" spans="1:8" ht="18.75" customHeight="1" x14ac:dyDescent="0.25">
      <c r="A38" s="96">
        <v>3.6</v>
      </c>
      <c r="B38" s="97" t="str">
        <f>'WBS &amp; Gantt'!B38</f>
        <v>Tests unitaires développeur</v>
      </c>
      <c r="C38" s="98"/>
      <c r="D38" s="98"/>
      <c r="E38" s="98"/>
      <c r="F38" s="98"/>
      <c r="G38" s="98"/>
      <c r="H38" s="99">
        <f>'WBS &amp; Gantt'!J38</f>
        <v>0</v>
      </c>
    </row>
    <row r="39" spans="1:8" ht="18.75" customHeight="1" x14ac:dyDescent="0.25">
      <c r="A39" s="92">
        <v>3.6</v>
      </c>
      <c r="B39" s="93" t="str">
        <f>'WBS &amp; Gantt'!B39</f>
        <v xml:space="preserve">Revue technique / peer review Tech Lead </v>
      </c>
      <c r="C39" s="94"/>
      <c r="D39" s="94"/>
      <c r="E39" s="94"/>
      <c r="F39" s="94"/>
      <c r="G39" s="94"/>
      <c r="H39" s="95">
        <f>'WBS &amp; Gantt'!J39</f>
        <v>0</v>
      </c>
    </row>
    <row r="40" spans="1:8" ht="18.75" customHeight="1" x14ac:dyDescent="0.25">
      <c r="A40" s="96">
        <v>3.6</v>
      </c>
      <c r="B40" s="97" t="str">
        <f>'WBS &amp; Gantt'!B40</f>
        <v>Qualification interne (avant livraison au client)</v>
      </c>
      <c r="C40" s="98"/>
      <c r="D40" s="98"/>
      <c r="E40" s="98"/>
      <c r="F40" s="98"/>
      <c r="G40" s="98"/>
      <c r="H40" s="99">
        <f>'WBS &amp; Gantt'!J40</f>
        <v>0</v>
      </c>
    </row>
    <row r="41" spans="1:8" ht="18" customHeight="1" thickBot="1" x14ac:dyDescent="0.3">
      <c r="A41" s="112" t="s">
        <v>82</v>
      </c>
      <c r="B41" s="112"/>
      <c r="C41" s="100">
        <f>'WBS &amp; Gantt'!E41</f>
        <v>0</v>
      </c>
      <c r="D41" s="100">
        <f>'WBS &amp; Gantt'!F41</f>
        <v>0</v>
      </c>
      <c r="E41" s="100">
        <f>'WBS &amp; Gantt'!G41</f>
        <v>0</v>
      </c>
      <c r="F41" s="100">
        <f>'WBS &amp; Gantt'!H41</f>
        <v>0</v>
      </c>
      <c r="G41" s="100">
        <f>'WBS &amp; Gantt'!I41</f>
        <v>0</v>
      </c>
      <c r="H41" s="101">
        <f>'WBS &amp; Gantt'!J41</f>
        <v>0</v>
      </c>
    </row>
    <row r="42" spans="1:8" ht="3.75" customHeight="1" x14ac:dyDescent="0.25"/>
    <row r="43" spans="1:8" ht="21.75" customHeight="1" x14ac:dyDescent="0.25">
      <c r="A43" s="118" t="s">
        <v>83</v>
      </c>
      <c r="B43" s="118"/>
      <c r="C43" s="118"/>
      <c r="D43" s="118"/>
      <c r="E43" s="118"/>
      <c r="F43" s="118"/>
      <c r="G43" s="118"/>
      <c r="H43" s="118"/>
    </row>
    <row r="44" spans="1:8" ht="18.75" customHeight="1" x14ac:dyDescent="0.25">
      <c r="A44" s="96">
        <v>4.0999999999999996</v>
      </c>
      <c r="B44" s="97" t="str">
        <f>'WBS &amp; Gantt'!B44</f>
        <v>Tests de Non-Régression (TNR)</v>
      </c>
      <c r="C44" s="98"/>
      <c r="D44" s="98"/>
      <c r="E44" s="98"/>
      <c r="F44" s="98"/>
      <c r="G44" s="98"/>
      <c r="H44" s="99">
        <f>'WBS &amp; Gantt'!J44</f>
        <v>0</v>
      </c>
    </row>
    <row r="45" spans="1:8" ht="18.75" customHeight="1" x14ac:dyDescent="0.25">
      <c r="A45" s="92">
        <v>4.2</v>
      </c>
      <c r="B45" s="93" t="str">
        <f>'WBS &amp; Gantt'!B45</f>
        <v>Corrections post-UAT</v>
      </c>
      <c r="C45" s="94"/>
      <c r="D45" s="94"/>
      <c r="E45" s="94"/>
      <c r="F45" s="94"/>
      <c r="G45" s="94"/>
      <c r="H45" s="95">
        <f>'WBS &amp; Gantt'!J45</f>
        <v>0</v>
      </c>
    </row>
    <row r="46" spans="1:8" ht="18.75" customHeight="1" x14ac:dyDescent="0.25">
      <c r="A46" s="96">
        <v>4.3</v>
      </c>
      <c r="B46" s="97" t="str">
        <f>'WBS &amp; Gantt'!B46</f>
        <v>Mise en Production (MEP)</v>
      </c>
      <c r="C46" s="98"/>
      <c r="D46" s="98"/>
      <c r="E46" s="98"/>
      <c r="F46" s="98"/>
      <c r="G46" s="98"/>
      <c r="H46" s="99">
        <f>'WBS &amp; Gantt'!J46</f>
        <v>0</v>
      </c>
    </row>
    <row r="47" spans="1:8" ht="18.75" customHeight="1" x14ac:dyDescent="0.25">
      <c r="A47" s="92">
        <v>4.4000000000000004</v>
      </c>
      <c r="B47" s="93" t="str">
        <f>'WBS &amp; Gantt'!B47</f>
        <v>Hypercare post Go-Live</v>
      </c>
      <c r="C47" s="94"/>
      <c r="D47" s="94"/>
      <c r="E47" s="94"/>
      <c r="F47" s="94"/>
      <c r="G47" s="94"/>
      <c r="H47" s="95">
        <f>'WBS &amp; Gantt'!J47</f>
        <v>0</v>
      </c>
    </row>
    <row r="48" spans="1:8" ht="18.75" customHeight="1" x14ac:dyDescent="0.25">
      <c r="A48" s="96">
        <v>4.5</v>
      </c>
      <c r="B48" s="97" t="str">
        <f>'WBS &amp; Gantt'!B48</f>
        <v>Support de maintenance (Xj)</v>
      </c>
      <c r="C48" s="98"/>
      <c r="D48" s="98"/>
      <c r="E48" s="98"/>
      <c r="F48" s="98"/>
      <c r="G48" s="98"/>
      <c r="H48" s="99">
        <f>'WBS &amp; Gantt'!J48</f>
        <v>0</v>
      </c>
    </row>
    <row r="49" spans="1:8" ht="18" customHeight="1" thickBot="1" x14ac:dyDescent="0.3">
      <c r="A49" s="112" t="s">
        <v>94</v>
      </c>
      <c r="B49" s="112"/>
      <c r="C49" s="100">
        <f>'WBS &amp; Gantt'!E49</f>
        <v>0</v>
      </c>
      <c r="D49" s="100">
        <f>'WBS &amp; Gantt'!F49</f>
        <v>0</v>
      </c>
      <c r="E49" s="100">
        <f>'WBS &amp; Gantt'!G49</f>
        <v>0</v>
      </c>
      <c r="F49" s="100">
        <f>'WBS &amp; Gantt'!H49</f>
        <v>0</v>
      </c>
      <c r="G49" s="100">
        <f>'WBS &amp; Gantt'!I49</f>
        <v>0</v>
      </c>
      <c r="H49" s="101">
        <f>'WBS &amp; Gantt'!J49</f>
        <v>0</v>
      </c>
    </row>
  </sheetData>
  <mergeCells count="21">
    <mergeCell ref="A9:H9"/>
    <mergeCell ref="A30:B30"/>
    <mergeCell ref="G2:H2"/>
    <mergeCell ref="A49:B49"/>
    <mergeCell ref="C5:G5"/>
    <mergeCell ref="A25:H25"/>
    <mergeCell ref="A41:B41"/>
    <mergeCell ref="A18:H18"/>
    <mergeCell ref="A23:B23"/>
    <mergeCell ref="A32:H32"/>
    <mergeCell ref="A43:H43"/>
    <mergeCell ref="A16:B16"/>
    <mergeCell ref="A1:H1"/>
    <mergeCell ref="A6:B6"/>
    <mergeCell ref="A7:B7"/>
    <mergeCell ref="B4:E4"/>
    <mergeCell ref="B3:E3"/>
    <mergeCell ref="G3:H3"/>
    <mergeCell ref="A5:B5"/>
    <mergeCell ref="B2:E2"/>
    <mergeCell ref="G4:H4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6"/>
  <sheetViews>
    <sheetView showGridLines="0" topLeftCell="A6" zoomScaleNormal="100" workbookViewId="0">
      <selection activeCell="A17" sqref="A17:XFD17"/>
    </sheetView>
  </sheetViews>
  <sheetFormatPr defaultColWidth="8.7109375" defaultRowHeight="15" x14ac:dyDescent="0.25"/>
  <cols>
    <col min="1" max="1" width="6" customWidth="1"/>
    <col min="2" max="2" width="42" customWidth="1"/>
    <col min="3" max="3" width="18" customWidth="1"/>
    <col min="4" max="4" width="12" customWidth="1"/>
    <col min="5" max="5" width="42" customWidth="1"/>
  </cols>
  <sheetData>
    <row r="1" spans="1:5" ht="36" customHeight="1" x14ac:dyDescent="0.25">
      <c r="A1" s="133" t="s">
        <v>99</v>
      </c>
      <c r="B1" s="104"/>
      <c r="C1" s="104"/>
      <c r="D1" s="104"/>
      <c r="E1" s="104"/>
    </row>
    <row r="3" spans="1:5" ht="21.75" customHeight="1" x14ac:dyDescent="0.25">
      <c r="A3" s="135" t="s">
        <v>100</v>
      </c>
      <c r="B3" s="104"/>
      <c r="C3" s="104"/>
      <c r="D3" s="104"/>
      <c r="E3" s="104"/>
    </row>
    <row r="4" spans="1:5" ht="21.75" customHeight="1" x14ac:dyDescent="0.25">
      <c r="A4" s="45" t="s">
        <v>101</v>
      </c>
      <c r="B4" s="45" t="s">
        <v>102</v>
      </c>
      <c r="C4" s="45" t="s">
        <v>103</v>
      </c>
      <c r="D4" s="45" t="s">
        <v>104</v>
      </c>
      <c r="E4" s="45" t="s">
        <v>105</v>
      </c>
    </row>
    <row r="5" spans="1:5" ht="30" customHeight="1" x14ac:dyDescent="0.25">
      <c r="A5" s="48" t="s">
        <v>106</v>
      </c>
      <c r="B5" s="49" t="s">
        <v>107</v>
      </c>
      <c r="C5" s="49" t="s">
        <v>108</v>
      </c>
      <c r="D5" s="55" t="s">
        <v>109</v>
      </c>
      <c r="E5" s="49" t="s">
        <v>110</v>
      </c>
    </row>
    <row r="6" spans="1:5" ht="30" customHeight="1" x14ac:dyDescent="0.25">
      <c r="A6" s="56" t="s">
        <v>111</v>
      </c>
      <c r="B6" s="57" t="s">
        <v>112</v>
      </c>
      <c r="C6" s="57" t="s">
        <v>113</v>
      </c>
      <c r="D6" s="58" t="s">
        <v>109</v>
      </c>
      <c r="E6" s="57" t="s">
        <v>114</v>
      </c>
    </row>
    <row r="7" spans="1:5" ht="30" customHeight="1" x14ac:dyDescent="0.25">
      <c r="A7" s="48" t="s">
        <v>115</v>
      </c>
      <c r="B7" s="49" t="s">
        <v>116</v>
      </c>
      <c r="C7" s="49" t="s">
        <v>113</v>
      </c>
      <c r="D7" s="55" t="s">
        <v>109</v>
      </c>
      <c r="E7" s="49" t="s">
        <v>117</v>
      </c>
    </row>
    <row r="8" spans="1:5" ht="30" customHeight="1" x14ac:dyDescent="0.25">
      <c r="A8" s="56" t="s">
        <v>118</v>
      </c>
      <c r="B8" s="57" t="s">
        <v>119</v>
      </c>
      <c r="C8" s="57" t="s">
        <v>120</v>
      </c>
      <c r="D8" s="58" t="s">
        <v>109</v>
      </c>
      <c r="E8" s="57" t="s">
        <v>121</v>
      </c>
    </row>
    <row r="9" spans="1:5" ht="30" customHeight="1" x14ac:dyDescent="0.25">
      <c r="A9" s="48" t="s">
        <v>122</v>
      </c>
      <c r="B9" s="49" t="s">
        <v>123</v>
      </c>
      <c r="C9" s="49" t="s">
        <v>124</v>
      </c>
      <c r="D9" s="55" t="s">
        <v>109</v>
      </c>
      <c r="E9" s="49" t="s">
        <v>125</v>
      </c>
    </row>
    <row r="10" spans="1:5" ht="30" customHeight="1" x14ac:dyDescent="0.25">
      <c r="A10" s="56" t="s">
        <v>126</v>
      </c>
      <c r="B10" s="57" t="s">
        <v>127</v>
      </c>
      <c r="C10" s="57" t="s">
        <v>128</v>
      </c>
      <c r="D10" s="58" t="s">
        <v>109</v>
      </c>
      <c r="E10" s="57" t="s">
        <v>129</v>
      </c>
    </row>
    <row r="11" spans="1:5" ht="30" customHeight="1" x14ac:dyDescent="0.25">
      <c r="A11" s="48" t="s">
        <v>130</v>
      </c>
      <c r="B11" s="49" t="s">
        <v>131</v>
      </c>
      <c r="C11" s="49" t="s">
        <v>132</v>
      </c>
      <c r="D11" s="55" t="s">
        <v>109</v>
      </c>
      <c r="E11" s="49" t="s">
        <v>133</v>
      </c>
    </row>
    <row r="12" spans="1:5" ht="30" customHeight="1" x14ac:dyDescent="0.25">
      <c r="A12" s="56" t="s">
        <v>134</v>
      </c>
      <c r="B12" s="57" t="s">
        <v>135</v>
      </c>
      <c r="C12" s="57" t="s">
        <v>113</v>
      </c>
      <c r="D12" s="58" t="s">
        <v>109</v>
      </c>
      <c r="E12" s="57" t="s">
        <v>136</v>
      </c>
    </row>
    <row r="13" spans="1:5" ht="30" customHeight="1" x14ac:dyDescent="0.25">
      <c r="A13" s="48" t="s">
        <v>137</v>
      </c>
      <c r="B13" s="49" t="s">
        <v>138</v>
      </c>
      <c r="C13" s="49" t="s">
        <v>139</v>
      </c>
      <c r="D13" s="50" t="s">
        <v>140</v>
      </c>
      <c r="E13" s="49" t="s">
        <v>141</v>
      </c>
    </row>
    <row r="14" spans="1:5" ht="30" customHeight="1" x14ac:dyDescent="0.25">
      <c r="A14" s="56" t="s">
        <v>142</v>
      </c>
      <c r="B14" s="57" t="s">
        <v>143</v>
      </c>
      <c r="C14" s="57" t="s">
        <v>144</v>
      </c>
      <c r="D14" s="58" t="s">
        <v>109</v>
      </c>
      <c r="E14" s="57" t="s">
        <v>145</v>
      </c>
    </row>
    <row r="15" spans="1:5" ht="30" customHeight="1" x14ac:dyDescent="0.25">
      <c r="A15" s="48" t="s">
        <v>146</v>
      </c>
      <c r="B15" s="49" t="s">
        <v>147</v>
      </c>
      <c r="C15" s="49" t="s">
        <v>139</v>
      </c>
      <c r="D15" s="50" t="s">
        <v>140</v>
      </c>
      <c r="E15" s="49" t="s">
        <v>141</v>
      </c>
    </row>
    <row r="16" spans="1:5" ht="30" customHeight="1" x14ac:dyDescent="0.25">
      <c r="A16" s="56" t="s">
        <v>148</v>
      </c>
      <c r="B16" s="57" t="s">
        <v>149</v>
      </c>
      <c r="C16" s="57" t="s">
        <v>144</v>
      </c>
      <c r="D16" s="58" t="s">
        <v>109</v>
      </c>
      <c r="E16" s="57" t="s">
        <v>145</v>
      </c>
    </row>
    <row r="18" spans="1:5" ht="21.75" customHeight="1" x14ac:dyDescent="0.25">
      <c r="A18" s="134" t="s">
        <v>150</v>
      </c>
      <c r="B18" s="104"/>
      <c r="C18" s="104"/>
      <c r="D18" s="104"/>
      <c r="E18" s="104"/>
    </row>
    <row r="19" spans="1:5" ht="21.75" customHeight="1" x14ac:dyDescent="0.25">
      <c r="A19" s="45" t="s">
        <v>101</v>
      </c>
      <c r="B19" s="45" t="s">
        <v>151</v>
      </c>
      <c r="C19" s="45" t="s">
        <v>152</v>
      </c>
      <c r="D19" s="45" t="s">
        <v>104</v>
      </c>
      <c r="E19" s="45" t="s">
        <v>153</v>
      </c>
    </row>
    <row r="20" spans="1:5" ht="30" customHeight="1" x14ac:dyDescent="0.25">
      <c r="A20" s="46" t="s">
        <v>154</v>
      </c>
      <c r="B20" s="47" t="s">
        <v>155</v>
      </c>
      <c r="C20" s="47" t="s">
        <v>156</v>
      </c>
      <c r="D20" s="58" t="s">
        <v>109</v>
      </c>
      <c r="E20" s="46" t="s">
        <v>157</v>
      </c>
    </row>
    <row r="21" spans="1:5" ht="30" customHeight="1" x14ac:dyDescent="0.25">
      <c r="A21" s="48" t="s">
        <v>158</v>
      </c>
      <c r="B21" s="49" t="s">
        <v>159</v>
      </c>
      <c r="C21" s="49" t="s">
        <v>160</v>
      </c>
      <c r="D21" s="50" t="s">
        <v>140</v>
      </c>
      <c r="E21" s="48" t="s">
        <v>161</v>
      </c>
    </row>
    <row r="22" spans="1:5" ht="30" customHeight="1" x14ac:dyDescent="0.25">
      <c r="A22" s="46" t="s">
        <v>162</v>
      </c>
      <c r="B22" s="47" t="s">
        <v>163</v>
      </c>
      <c r="C22" s="47" t="s">
        <v>164</v>
      </c>
      <c r="D22" s="46"/>
      <c r="E22" s="46" t="s">
        <v>165</v>
      </c>
    </row>
    <row r="23" spans="1:5" ht="30" customHeight="1" x14ac:dyDescent="0.25">
      <c r="A23" s="48" t="s">
        <v>166</v>
      </c>
      <c r="B23" s="59" t="s">
        <v>167</v>
      </c>
      <c r="C23" s="59" t="s">
        <v>168</v>
      </c>
      <c r="D23" s="60"/>
      <c r="E23" s="60" t="s">
        <v>169</v>
      </c>
    </row>
    <row r="24" spans="1:5" ht="30" customHeight="1" x14ac:dyDescent="0.25">
      <c r="A24" s="46" t="s">
        <v>170</v>
      </c>
      <c r="B24" s="57" t="s">
        <v>171</v>
      </c>
      <c r="C24" s="57" t="s">
        <v>172</v>
      </c>
      <c r="D24" s="56"/>
      <c r="E24" s="56" t="s">
        <v>173</v>
      </c>
    </row>
    <row r="25" spans="1:5" ht="30" customHeight="1" x14ac:dyDescent="0.25">
      <c r="A25" s="60" t="s">
        <v>174</v>
      </c>
      <c r="B25" s="59" t="s">
        <v>175</v>
      </c>
      <c r="C25" s="59" t="s">
        <v>176</v>
      </c>
      <c r="D25" s="60"/>
      <c r="E25" s="60" t="s">
        <v>177</v>
      </c>
    </row>
    <row r="26" spans="1:5" ht="30" customHeight="1" x14ac:dyDescent="0.25">
      <c r="A26" s="46" t="s">
        <v>178</v>
      </c>
      <c r="B26" s="47" t="s">
        <v>179</v>
      </c>
      <c r="C26" s="47" t="s">
        <v>180</v>
      </c>
      <c r="D26" s="46"/>
      <c r="E26" s="46" t="s">
        <v>181</v>
      </c>
    </row>
  </sheetData>
  <mergeCells count="3">
    <mergeCell ref="A1:E1"/>
    <mergeCell ref="A18:E18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5"/>
  <sheetViews>
    <sheetView workbookViewId="0">
      <selection activeCell="A15" sqref="A15"/>
    </sheetView>
  </sheetViews>
  <sheetFormatPr defaultRowHeight="15" x14ac:dyDescent="0.25"/>
  <cols>
    <col min="2" max="2" width="46.7109375" customWidth="1"/>
    <col min="5" max="5" width="38.7109375" customWidth="1"/>
  </cols>
  <sheetData>
    <row r="1" spans="1:5" ht="18.75" customHeight="1" x14ac:dyDescent="0.25">
      <c r="A1" s="133" t="s">
        <v>99</v>
      </c>
      <c r="B1" s="104"/>
      <c r="C1" s="104"/>
      <c r="D1" s="104"/>
      <c r="E1" s="104"/>
    </row>
    <row r="3" spans="1:5" ht="27" customHeight="1" x14ac:dyDescent="0.25">
      <c r="A3" s="136" t="s">
        <v>182</v>
      </c>
      <c r="B3" s="104"/>
      <c r="C3" s="104"/>
      <c r="D3" s="104"/>
      <c r="E3" s="104"/>
    </row>
    <row r="4" spans="1:5" ht="31.5" customHeight="1" x14ac:dyDescent="0.25">
      <c r="A4" s="45" t="s">
        <v>101</v>
      </c>
      <c r="B4" s="45" t="s">
        <v>183</v>
      </c>
      <c r="C4" s="45" t="s">
        <v>184</v>
      </c>
      <c r="D4" s="45" t="s">
        <v>185</v>
      </c>
      <c r="E4" s="45" t="s">
        <v>186</v>
      </c>
    </row>
    <row r="5" spans="1:5" ht="30" customHeight="1" x14ac:dyDescent="0.25">
      <c r="A5" s="48" t="s">
        <v>187</v>
      </c>
      <c r="B5" s="49" t="s">
        <v>188</v>
      </c>
      <c r="C5" s="49" t="s">
        <v>189</v>
      </c>
      <c r="D5" s="55" t="s">
        <v>190</v>
      </c>
      <c r="E5" s="49" t="s">
        <v>191</v>
      </c>
    </row>
    <row r="6" spans="1:5" ht="30" customHeight="1" x14ac:dyDescent="0.25">
      <c r="A6" s="56" t="s">
        <v>192</v>
      </c>
      <c r="B6" s="57" t="s">
        <v>193</v>
      </c>
      <c r="C6" s="57" t="s">
        <v>194</v>
      </c>
      <c r="D6" s="58" t="s">
        <v>190</v>
      </c>
      <c r="E6" s="57" t="s">
        <v>195</v>
      </c>
    </row>
    <row r="7" spans="1:5" ht="30" customHeight="1" x14ac:dyDescent="0.25">
      <c r="A7" s="48" t="s">
        <v>196</v>
      </c>
      <c r="B7" s="49" t="s">
        <v>197</v>
      </c>
      <c r="C7" s="49" t="s">
        <v>194</v>
      </c>
      <c r="D7" s="55" t="s">
        <v>190</v>
      </c>
      <c r="E7" s="49" t="s">
        <v>198</v>
      </c>
    </row>
    <row r="8" spans="1:5" ht="30" customHeight="1" x14ac:dyDescent="0.25">
      <c r="A8" s="56" t="s">
        <v>199</v>
      </c>
      <c r="B8" s="57" t="s">
        <v>200</v>
      </c>
      <c r="C8" s="57" t="s">
        <v>189</v>
      </c>
      <c r="D8" s="62" t="s">
        <v>201</v>
      </c>
      <c r="E8" s="57" t="s">
        <v>202</v>
      </c>
    </row>
    <row r="9" spans="1:5" ht="30" customHeight="1" x14ac:dyDescent="0.25">
      <c r="A9" s="48" t="s">
        <v>203</v>
      </c>
      <c r="B9" s="49" t="s">
        <v>204</v>
      </c>
      <c r="C9" s="49" t="s">
        <v>194</v>
      </c>
      <c r="D9" s="55" t="s">
        <v>190</v>
      </c>
      <c r="E9" s="49" t="s">
        <v>205</v>
      </c>
    </row>
    <row r="10" spans="1:5" ht="30" customHeight="1" x14ac:dyDescent="0.25">
      <c r="A10" s="56" t="s">
        <v>206</v>
      </c>
      <c r="B10" s="57" t="s">
        <v>207</v>
      </c>
      <c r="C10" s="57" t="s">
        <v>194</v>
      </c>
      <c r="D10" s="58" t="s">
        <v>190</v>
      </c>
      <c r="E10" s="57" t="s">
        <v>208</v>
      </c>
    </row>
    <row r="11" spans="1:5" ht="30" customHeight="1" x14ac:dyDescent="0.25">
      <c r="A11" s="48" t="s">
        <v>209</v>
      </c>
      <c r="B11" s="49" t="s">
        <v>210</v>
      </c>
      <c r="C11" s="49" t="s">
        <v>211</v>
      </c>
      <c r="D11" s="55" t="s">
        <v>190</v>
      </c>
      <c r="E11" s="49" t="s">
        <v>212</v>
      </c>
    </row>
    <row r="12" spans="1:5" ht="30" customHeight="1" x14ac:dyDescent="0.25">
      <c r="A12" s="56" t="s">
        <v>213</v>
      </c>
      <c r="B12" s="57" t="s">
        <v>214</v>
      </c>
      <c r="C12" s="57" t="s">
        <v>211</v>
      </c>
      <c r="D12" s="61" t="s">
        <v>211</v>
      </c>
      <c r="E12" s="57" t="s">
        <v>215</v>
      </c>
    </row>
    <row r="13" spans="1:5" ht="30" customHeight="1" x14ac:dyDescent="0.25">
      <c r="A13" s="48" t="s">
        <v>216</v>
      </c>
      <c r="B13" s="49" t="s">
        <v>217</v>
      </c>
      <c r="C13" s="49" t="s">
        <v>211</v>
      </c>
      <c r="D13" s="55" t="s">
        <v>190</v>
      </c>
      <c r="E13" s="49" t="s">
        <v>212</v>
      </c>
    </row>
    <row r="14" spans="1:5" ht="30" customHeight="1" x14ac:dyDescent="0.25">
      <c r="A14" s="56" t="s">
        <v>218</v>
      </c>
      <c r="B14" s="57" t="s">
        <v>219</v>
      </c>
      <c r="C14" s="57" t="s">
        <v>211</v>
      </c>
      <c r="D14" s="61" t="s">
        <v>211</v>
      </c>
      <c r="E14" s="57" t="s">
        <v>215</v>
      </c>
    </row>
    <row r="15" spans="1:5" ht="30" customHeight="1" x14ac:dyDescent="0.25">
      <c r="A15" s="48" t="s">
        <v>220</v>
      </c>
      <c r="B15" s="49" t="s">
        <v>221</v>
      </c>
      <c r="C15" s="49" t="s">
        <v>211</v>
      </c>
      <c r="D15" s="55" t="s">
        <v>190</v>
      </c>
      <c r="E15" s="49" t="s">
        <v>212</v>
      </c>
    </row>
  </sheetData>
  <mergeCells count="2">
    <mergeCell ref="A1:E1"/>
    <mergeCell ref="A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WBS &amp; Gantt</vt:lpstr>
      <vt:lpstr>Vue Client</vt:lpstr>
      <vt:lpstr>Hypothèses &amp; Exclusions</vt:lpstr>
      <vt:lpstr>Risques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Maori Benhassine</cp:lastModifiedBy>
  <cp:revision>0</cp:revision>
  <dcterms:created xsi:type="dcterms:W3CDTF">2026-04-22T06:48:48Z</dcterms:created>
  <dcterms:modified xsi:type="dcterms:W3CDTF">2026-04-27T11:53:03Z</dcterms:modified>
</cp:coreProperties>
</file>